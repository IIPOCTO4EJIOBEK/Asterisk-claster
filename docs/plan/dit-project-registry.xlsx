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и допущения" sheetId="1" state="visible" r:id="rId1"/>
    <sheet name="Приоритет1_открыт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sz val="12"/>
    </font>
    <font>
      <name val="Calibri"/>
      <sz val="9"/>
    </font>
    <font>
      <name val="Arial"/>
      <b val="1"/>
      <sz val="9"/>
    </font>
    <font>
      <name val="Calibri"/>
      <sz val="12"/>
    </font>
    <font>
      <name val="Arial"/>
      <b val="1"/>
      <color rgb="00000000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pivotButton="0" quotePrefix="0" xfId="0"/>
    <xf numFmtId="0" fontId="1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96" customWidth="1" min="3" max="3"/>
  </cols>
  <sheetData>
    <row r="1">
      <c r="A1" s="1" t="inlineStr">
        <is>
          <t>Централизованная телефония на Asterisk с выносами в кластерах</t>
        </is>
      </c>
    </row>
    <row r="2">
      <c r="A2" s="2" t="inlineStr">
        <is>
          <t>Параметры расчёта. Все прочие листы считают от этих значений — меняйте здесь, а не в самом плане.</t>
        </is>
      </c>
    </row>
    <row r="4" ht="18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Откуда взято</t>
        </is>
      </c>
    </row>
    <row r="5">
      <c r="A5" s="4" t="inlineStr">
        <is>
          <t>ОСНОВАНИЕ</t>
        </is>
      </c>
      <c r="B5" s="4" t="inlineStr">
        <is>
          <t>протокол совещания, п. 3</t>
        </is>
      </c>
      <c r="C5" s="4" t="inlineStr">
        <is>
          <t>«Обсудили верхнеуровневую архитектуру, решили строить централизованную на Asterisk с выносами в кластерах. По плану первый этап все за исключением Воронежа, далее Воронеж.»</t>
        </is>
      </c>
    </row>
    <row r="6">
      <c r="A6" s="5" t="inlineStr">
        <is>
          <t>Скорректированная архитектура</t>
        </is>
      </c>
      <c r="B6" s="5" t="inlineStr">
        <is>
          <t>Савенко В. — до 05.08, выполнено</t>
        </is>
      </c>
      <c r="C6" s="5" t="inlineStr">
        <is>
          <t>Из протокола, п. 3.</t>
        </is>
      </c>
    </row>
    <row r="7">
      <c r="A7" s="5" t="inlineStr">
        <is>
          <t>План работ</t>
        </is>
      </c>
      <c r="B7" s="5" t="inlineStr">
        <is>
          <t>Цеховской В. — срок 20.08</t>
        </is>
      </c>
      <c r="C7" s="5" t="inlineStr">
        <is>
          <t>Из протокола, п. 3. Настоящий файл и есть этот план.</t>
        </is>
      </c>
    </row>
    <row r="8">
      <c r="A8" s="5" t="inlineStr">
        <is>
          <t>Архитектура</t>
        </is>
      </c>
      <c r="B8" s="5" t="inlineStr">
        <is>
          <t>централизованная, с выносами</t>
        </is>
      </c>
      <c r="C8" s="5" t="inlineStr">
        <is>
          <t>Центральный узел — Ростов: мастер базы, FreePBX, управление. Выносы — Нижний Новгород, Славянск-на-Кубани, Москва, Воронеж — работают узлами одного кластера: локальная регистрация телефонов и свой выход в город, при отказе площадки телефоны уходят на центральный узел.</t>
        </is>
      </c>
    </row>
    <row r="9">
      <c r="A9" s="5" t="inlineStr">
        <is>
          <t>Дата начала работ</t>
        </is>
      </c>
      <c r="B9" s="6" t="n">
        <v>46272</v>
      </c>
      <c r="C9" s="5" t="inlineStr">
        <is>
          <t>ДОПУЩЕНИЕ. Понедельник. Отсчёт идёт от старта работ, то есть от стадии «проект открыт». Стадии 0–4 воронки плана автоматизации (постановка задачи, оценка, согласование карточки, ВЕ, приказа) в эти 15 недель не входят и идут до них.</t>
        </is>
      </c>
    </row>
    <row r="10">
      <c r="A10" s="5" t="inlineStr">
        <is>
          <t>Длительность, недель</t>
        </is>
      </c>
      <c r="B10" s="5" t="n">
        <v>15</v>
      </c>
      <c r="C10" s="5" t="inlineStr">
        <is>
          <t>Два этапа подряд: 11 недель без Воронежа + 4 недели Воронеж. Этапы последовательны по решению совещания, совмещать нельзя.</t>
        </is>
      </c>
    </row>
    <row r="11">
      <c r="A11" s="5" t="inlineStr">
        <is>
          <t>Дата завершения работ</t>
        </is>
      </c>
      <c r="B11" s="6" t="n">
        <v>46374</v>
      </c>
      <c r="C11" s="5" t="inlineStr">
        <is>
          <t>Дата начала + 15 недель, последний рабочий день</t>
        </is>
      </c>
    </row>
    <row r="12">
      <c r="A12" s="4" t="inlineStr">
        <is>
          <t>ЭТАП 1 — все, кроме Воронежа</t>
        </is>
      </c>
      <c r="B12" s="4" t="inlineStr">
        <is>
          <t>недели 1–11, 810 абонентов</t>
        </is>
      </c>
      <c r="C12" s="4" t="inlineStr">
        <is>
          <t>Ростов 426 (включая Ставрополь 74), Нижний Новгород 164, Славянск-на-Кубани 140, Москва 80.</t>
        </is>
      </c>
    </row>
    <row r="13">
      <c r="A13" s="4" t="inlineStr">
        <is>
          <t>ЭТАП 2 — Воронеж</t>
        </is>
      </c>
      <c r="B13" s="4" t="inlineStr">
        <is>
          <t>недели 12–15, 445 абонентов</t>
        </is>
      </c>
      <c r="C13" s="4" t="inlineStr">
        <is>
          <t>Воронеж 229, Мясокомбинат 187, Калуга 29.</t>
        </is>
      </c>
    </row>
    <row r="14">
      <c r="A14" s="5" t="inlineStr">
        <is>
          <t>Пилотная площадка</t>
        </is>
      </c>
      <c r="B14" s="5" t="inlineStr">
        <is>
          <t>Нижний Новгород</t>
        </is>
      </c>
      <c r="C14" s="5" t="inlineStr">
        <is>
          <t>ДОПУЩЕНИЕ. Воронеж выведен во второй этап и пилотом быть не может. Из оставшихся Нижний Новгород — самый крупный (164) и единственный со своей станцией и станцией на консолидацию (ССЗ), то есть отрабатывает процедуру целиком. Москва проще: её абоненты уже в базе центрального узла.</t>
        </is>
      </c>
    </row>
    <row r="15">
      <c r="A15" s="5" t="inlineStr">
        <is>
          <t>Трудозатраты всего, ч-д</t>
        </is>
      </c>
      <c r="B15" s="5" t="n">
        <v>89</v>
      </c>
      <c r="C15" s="5" t="inlineStr">
        <is>
          <t>Сумма по задачам, см. лист плана</t>
        </is>
      </c>
    </row>
    <row r="16">
      <c r="A16" s="5" t="inlineStr">
        <is>
          <t xml:space="preserve">  в том числе инженер кластера</t>
        </is>
      </c>
      <c r="B16" s="5" t="n">
        <v>59</v>
      </c>
      <c r="C16" s="5" t="inlineStr">
        <is>
          <t>Задачи 1–7 и 10. Помещается в 15 недель × 5 дней = 75 ч-д одного человека.</t>
        </is>
      </c>
    </row>
    <row r="17">
      <c r="A17" s="5" t="inlineStr">
        <is>
          <t xml:space="preserve">  в том числе второй исполнитель</t>
        </is>
      </c>
      <c r="B17" s="5" t="n">
        <v>30</v>
      </c>
      <c r="C17" s="5" t="inlineStr">
        <is>
          <t>Задачи 8, 9, 11, 12 — консолидация мелких АТС и перенумерация. Работа организационная, идёт параллельно силами второго человека с частичной занятостью. Одним инженером весь объём в срок не выполняется — это ограничение плана, а не оценка.</t>
        </is>
      </c>
    </row>
    <row r="18">
      <c r="A18" s="5" t="inlineStr">
        <is>
          <t>Внутренняя ставка, ₽/ч-д</t>
        </is>
      </c>
      <c r="B18" s="5" t="n">
        <v>11515</v>
      </c>
      <c r="C18" s="5" t="inlineStr">
        <is>
          <t>Из формулы =11515*M4 в файле «План работ ДИТ 2023.xlsx», колонка «Плановая себестоимость внутренних затрат».</t>
        </is>
      </c>
    </row>
    <row r="19">
      <c r="A19" s="5" t="inlineStr">
        <is>
          <t>Плановая себестоимость внутренних затрат, ₽ без НДС</t>
        </is>
      </c>
      <c r="B19" s="7">
        <f>B15*B18</f>
        <v>1024835</v>
      </c>
      <c r="C19" s="5" t="inlineStr">
        <is>
          <t>Трудозатраты × ставка, рассчитывается формулой</t>
        </is>
      </c>
    </row>
    <row r="20">
      <c r="A20" s="5" t="inlineStr">
        <is>
          <t>Плановая себестоимость внешних затрат, ₽ без НДС</t>
        </is>
      </c>
      <c r="B20" s="7" t="n">
        <v>0</v>
      </c>
      <c r="C20" s="5" t="inlineStr">
        <is>
          <t>Всё программное обеспечение бесплатное: MariaDB Galera, Asterisk, FreePBX, OSS PBX End Point Manager. Все узлы — свои виртуальные машины, закупки нет.</t>
        </is>
      </c>
    </row>
    <row r="21">
      <c r="A21" s="5" t="inlineStr">
        <is>
          <t>Абонентов в периметре</t>
        </is>
      </c>
      <c r="B21" s="5" t="n">
        <v>1255</v>
      </c>
      <c r="C21" s="5" t="inlineStr">
        <is>
          <t>Аудит 12 станций, docs/plan/numbering-plan.csv</t>
        </is>
      </c>
    </row>
    <row r="22">
      <c r="A22" s="5" t="inlineStr">
        <is>
          <t>Станций сейчас</t>
        </is>
      </c>
      <c r="B22" s="5" t="n">
        <v>12</v>
      </c>
      <c r="C22" s="5" t="inlineStr">
        <is>
          <t>Там же</t>
        </is>
      </c>
    </row>
    <row r="23">
      <c r="A23" s="5" t="inlineStr">
        <is>
          <t>Узлов кластера после внедрения</t>
        </is>
      </c>
      <c r="B23" s="5" t="n">
        <v>5</v>
      </c>
      <c r="C23" s="5" t="inlineStr">
        <is>
          <t>Ростов (центральный) 426, Воронеж 445, Нижний Новгород 164, Славянск-на-Кубани 140, Москва 80. Сумма 1255 сходится с аудитом.</t>
        </is>
      </c>
    </row>
    <row r="24">
      <c r="A24" s="5" t="inlineStr">
        <is>
          <t>Голосов в кворуме</t>
        </is>
      </c>
      <c r="B24" s="5" t="n">
        <v>5</v>
      </c>
      <c r="C24" s="5" t="inlineStr">
        <is>
          <t>Пять узлов, число нечётное — отдельный арбитр не нужен. Кластер переживает потерю двух узлов из пяти.</t>
        </is>
      </c>
    </row>
    <row r="25">
      <c r="A25" s="5" t="inlineStr">
        <is>
          <t>Кворум в конце этапа 1</t>
        </is>
      </c>
      <c r="B25" s="5" t="n">
        <v>4</v>
      </c>
      <c r="C25" s="5" t="inlineStr">
        <is>
          <t>ВНИМАНИЕ. Пока Воронеж не введён, узлов четыре — число чётное. Кластер переживает потерю только одного узла, а при разрыве сети пополам ни одна половина не имеет большинства. Это состояние держится недели 8–11; если оно нежелательно, на этот период ставится арбитр garbd (1 vCPU, 512 МБ).</t>
        </is>
      </c>
    </row>
    <row r="26">
      <c r="A26" s="5" t="inlineStr">
        <is>
          <t>Серверов нужно докупить</t>
        </is>
      </c>
      <c r="B26" s="5" t="n">
        <v>0</v>
      </c>
      <c r="C26" s="5" t="inlineStr">
        <is>
          <t>Все узлы — свои виртуальные машины. Московский узел — ещё одна ВМ на существующих мощностях.</t>
        </is>
      </c>
    </row>
    <row r="27">
      <c r="A27" s="5" t="inlineStr">
        <is>
          <t>Размещение ВМ по хостам</t>
        </is>
      </c>
      <c r="B27" s="5" t="inlineStr">
        <is>
          <t>проверить</t>
        </is>
      </c>
      <c r="C27" s="5" t="inlineStr">
        <is>
          <t>КРИТИЧНО. Узлы обязаны стоять на разных физических хостах: пять ВМ на одном гипервизоре — это не отказоустойчивый кластер, а пять копий одной точки отказа. Проверяется на этапе 1 до ввода второго узла.</t>
        </is>
      </c>
    </row>
    <row r="28">
      <c r="A28" s="5" t="inlineStr">
        <is>
          <t>Снимки ВМ как резервная копия</t>
        </is>
      </c>
      <c r="B28" s="5" t="inlineStr">
        <is>
          <t>нельзя</t>
        </is>
      </c>
      <c r="C28" s="5" t="inlineStr">
        <is>
          <t>Откат узла на снимок возвращает его с устаревшим seqno. Такой узел вводится обратно только через prepare-clone.sh --full-resync. Резервные копии снимаются на уровне базы (mysqldump), а не гипервизора.</t>
        </is>
      </c>
    </row>
    <row r="29">
      <c r="A29" s="5" t="inlineStr">
        <is>
          <t>Резервный центральный узел отдельной машиной</t>
        </is>
      </c>
      <c r="B29" s="5" t="inlineStr">
        <is>
          <t>нет</t>
        </is>
      </c>
      <c r="C29" s="5" t="inlineStr">
        <is>
          <t>Не требуется: каждый вынос — клон центрального узла, FreePBX на нём уже установлен и только отключён, поэтому роль передаётся на любой рабочий вынос; процедура отрабатывается в задаче 7 учебно.</t>
        </is>
      </c>
    </row>
    <row r="31">
      <c r="A31" s="8" t="inlineStr">
        <is>
          <t>Что нужно заполнить вручную</t>
        </is>
      </c>
    </row>
    <row r="32">
      <c r="A32" s="9" t="inlineStr">
        <is>
          <t>Заказчик</t>
        </is>
      </c>
      <c r="B32" s="10" t="n"/>
      <c r="C32" s="11" t="inlineStr">
        <is>
          <t>Руководитель, от которого идёт задача. Формат «И. Фамилия».</t>
        </is>
      </c>
    </row>
    <row r="33">
      <c r="A33" s="9" t="inlineStr">
        <is>
          <t>Исполнитель</t>
        </is>
      </c>
      <c r="B33" s="10" t="n"/>
      <c r="C33" s="11" t="inlineStr">
        <is>
          <t>Инженер проекта и ответственные за задачи. Формат «И. Фамилия».</t>
        </is>
      </c>
    </row>
    <row r="34">
      <c r="A34" s="9" t="inlineStr">
        <is>
          <t>Номер приказа / внутреннего проекта</t>
        </is>
      </c>
      <c r="B34" s="10" t="n"/>
      <c r="C34" s="11" t="inlineStr">
        <is>
          <t>Присваивается при открытии проекта.</t>
        </is>
      </c>
    </row>
    <row r="35">
      <c r="A35" s="9" t="inlineStr">
        <is>
          <t>Дата протокола совещания</t>
        </is>
      </c>
      <c r="B35" s="10" t="n"/>
      <c r="C35" s="11" t="inlineStr">
        <is>
          <t>Проставить дату документа, из которого взята этапность.</t>
        </is>
      </c>
    </row>
    <row r="36">
      <c r="A36" s="9" t="inlineStr">
        <is>
          <t>IP-адреса Славянска-на-Кубани и локального PBX</t>
        </is>
      </c>
      <c r="B36" s="10" t="n"/>
      <c r="C36" s="11" t="inlineStr">
        <is>
          <t>В исходных данных аудита отсутствуют, запрашиваются в первую неделю.</t>
        </is>
      </c>
    </row>
    <row r="38">
      <c r="A38" s="12" t="inlineStr">
        <is>
          <t>Жёлтой заливкой отмечены ячейки, которые заполняются вручную.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Y21"/>
  <sheetViews>
    <sheetView zoomScale="80" workbookViewId="0">
      <pane xSplit="10" ySplit="2" topLeftCell="K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699999999999999" customWidth="1" min="1" max="1"/>
    <col width="23.9" customWidth="1" min="2" max="2"/>
    <col width="12" customWidth="1" min="3" max="3"/>
    <col width="22" customWidth="1" min="4" max="4"/>
    <col width="16.6" customWidth="1" min="5" max="5"/>
    <col width="70.7" customWidth="1" min="6" max="6"/>
    <col width="18.3" customWidth="1" min="7" max="7"/>
    <col width="18.4" customWidth="1" min="8" max="8"/>
    <col width="8.9" customWidth="1" min="9" max="9"/>
    <col width="45.4" customWidth="1" min="10" max="10"/>
    <col width="3.9" customWidth="1" min="11" max="11"/>
    <col width="3.9" customWidth="1" min="12" max="12"/>
    <col width="3.9" customWidth="1" min="13" max="13"/>
    <col width="3.9" customWidth="1" min="14" max="14"/>
    <col width="3.9" customWidth="1" min="15" max="15"/>
    <col width="3.9" customWidth="1" min="16" max="16"/>
    <col width="3.9" customWidth="1" min="17" max="17"/>
    <col width="3.9" customWidth="1" min="18" max="18"/>
    <col width="3.9" customWidth="1" min="19" max="19"/>
    <col width="3.9" customWidth="1" min="20" max="20"/>
    <col width="3.9" customWidth="1" min="21" max="21"/>
    <col width="3.9" customWidth="1" min="22" max="22"/>
    <col width="3.9" customWidth="1" min="23" max="23"/>
    <col width="3.9" customWidth="1" min="24" max="24"/>
    <col width="3.9" customWidth="1" min="25" max="25"/>
  </cols>
  <sheetData>
    <row r="1" ht="40" customHeight="1">
      <c r="C1" s="13" t="inlineStr">
        <is>
          <t>Статус проекта</t>
        </is>
      </c>
      <c r="D1" s="13" t="inlineStr">
        <is>
          <t>Срок проекта</t>
        </is>
      </c>
      <c r="E1" s="13" t="inlineStr">
        <is>
          <t>Заказчик</t>
        </is>
      </c>
      <c r="F1" s="13" t="inlineStr">
        <is>
          <t>Проект</t>
        </is>
      </c>
      <c r="G1" s="13" t="inlineStr">
        <is>
          <t>Стадии выполнения работ</t>
        </is>
      </c>
      <c r="H1" s="13" t="inlineStr">
        <is>
          <t>Исполнитель</t>
        </is>
      </c>
      <c r="I1" s="13" t="inlineStr">
        <is>
          <t>ТРЗ, ч/д</t>
        </is>
      </c>
      <c r="J1" s="13" t="inlineStr">
        <is>
          <t>Проблемы/Риски</t>
        </is>
      </c>
      <c r="K1" s="14" t="inlineStr">
        <is>
          <t>Сентябрь 2026</t>
        </is>
      </c>
      <c r="O1" s="14" t="inlineStr">
        <is>
          <t>Октябрь 2026</t>
        </is>
      </c>
      <c r="S1" s="14" t="inlineStr">
        <is>
          <t>Ноябрь 2026</t>
        </is>
      </c>
      <c r="X1" s="14" t="inlineStr">
        <is>
          <t>Декабрь 2026</t>
        </is>
      </c>
    </row>
    <row r="2">
      <c r="K2" s="15" t="inlineStr">
        <is>
          <t>07-13</t>
        </is>
      </c>
      <c r="L2" s="15" t="inlineStr">
        <is>
          <t>14-20</t>
        </is>
      </c>
      <c r="M2" s="15" t="inlineStr">
        <is>
          <t>21-27</t>
        </is>
      </c>
      <c r="N2" s="15" t="inlineStr">
        <is>
          <t>28-04</t>
        </is>
      </c>
      <c r="O2" s="15" t="inlineStr">
        <is>
          <t>05-11</t>
        </is>
      </c>
      <c r="P2" s="15" t="inlineStr">
        <is>
          <t>12-18</t>
        </is>
      </c>
      <c r="Q2" s="15" t="inlineStr">
        <is>
          <t>19-25</t>
        </is>
      </c>
      <c r="R2" s="15" t="inlineStr">
        <is>
          <t>26-01</t>
        </is>
      </c>
      <c r="S2" s="15" t="inlineStr">
        <is>
          <t>02-08</t>
        </is>
      </c>
      <c r="T2" s="15" t="inlineStr">
        <is>
          <t>09-15</t>
        </is>
      </c>
      <c r="U2" s="15" t="inlineStr">
        <is>
          <t>16-22</t>
        </is>
      </c>
      <c r="V2" s="15" t="inlineStr">
        <is>
          <t>23-29</t>
        </is>
      </c>
      <c r="W2" s="15" t="inlineStr">
        <is>
          <t>30-06</t>
        </is>
      </c>
      <c r="X2" s="15" t="inlineStr">
        <is>
          <t>07-13</t>
        </is>
      </c>
      <c r="Y2" s="15" t="inlineStr">
        <is>
          <t>14-20</t>
        </is>
      </c>
    </row>
    <row r="3">
      <c r="C3" s="16" t="inlineStr">
        <is>
          <t>норма</t>
        </is>
      </c>
      <c r="D3" s="16" t="inlineStr">
        <is>
          <t>07.09.26 - 18.12.26</t>
        </is>
      </c>
      <c r="E3" s="17" t="n"/>
      <c r="F3" s="16" t="inlineStr">
        <is>
          <t>Отказоустойчивый кластер телефонии на шесть регионов</t>
        </is>
      </c>
      <c r="G3" s="16" t="inlineStr">
        <is>
          <t>планируется</t>
        </is>
      </c>
      <c r="H3" s="17" t="n"/>
      <c r="I3" s="16">
        <f>SUM(I4:I15)</f>
        <v>89</v>
      </c>
      <c r="J3" s="16" t="inlineStr">
        <is>
          <t>1255 абонентов на 12 станциях сводятся в кластер из 8 узлов. Два узла (Ставрополь, Москва) создаются заново — своей АТС там нет, абоненты обслуживаются из Ростова. Контрольная точка после первой площадки: тиражирование не начинается, пока Воронеж не отработает две недели без замечаний.</t>
        </is>
      </c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</row>
    <row r="4">
      <c r="C4" s="19" t="n"/>
      <c r="D4" s="19" t="n"/>
      <c r="E4" s="19" t="n"/>
      <c r="F4" s="19" t="inlineStr">
        <is>
          <t>1. Подготовка: сеть, виртуальные машины, договорённости с операторами</t>
        </is>
      </c>
      <c r="G4" s="19" t="inlineStr">
        <is>
          <t>планируется</t>
        </is>
      </c>
      <c r="H4" s="20" t="n"/>
      <c r="I4" s="19" t="n">
        <v>8</v>
      </c>
      <c r="J4" s="19" t="inlineStr">
        <is>
          <t>RTT выше 50 мс до площадки — площадка не включается в синхронную репликацию, получает автономную АТС с транком. Отсутствие IP у Славянска-на-Кубани и локального PBX блокирует недели 7 и 10. Оператор может не дать отдельных пользователей ВАТС — тогда вынос работает через центральный узел.</t>
        </is>
      </c>
      <c r="K4" s="18" t="n"/>
      <c r="L4" s="18" t="n"/>
    </row>
    <row r="5">
      <c r="C5" s="19" t="n"/>
      <c r="D5" s="19" t="n"/>
      <c r="E5" s="19" t="n"/>
      <c r="F5" s="19" t="inlineStr">
        <is>
          <t>2. Смена учётных данных и защита периметра</t>
        </is>
      </c>
      <c r="G5" s="19" t="inlineStr">
        <is>
          <t>планируется</t>
        </is>
      </c>
      <c r="H5" s="20" t="n"/>
      <c r="I5" s="19" t="n">
        <v>10</v>
      </c>
      <c r="J5" s="19" t="inlineStr"/>
      <c r="K5" s="18" t="n"/>
      <c r="L5" s="18" t="n"/>
    </row>
    <row r="6">
      <c r="C6" s="19" t="n"/>
      <c r="D6" s="19" t="n"/>
      <c r="E6" s="19" t="n"/>
      <c r="F6" s="19" t="inlineStr">
        <is>
          <t>3. Испытательный стенд</t>
        </is>
      </c>
      <c r="G6" s="19" t="inlineStr">
        <is>
          <t>планируется</t>
        </is>
      </c>
      <c r="H6" s="20" t="n"/>
      <c r="I6" s="19" t="n">
        <v>6</v>
      </c>
      <c r="J6" s="19" t="inlineStr"/>
      <c r="M6" s="18" t="n"/>
    </row>
    <row r="7">
      <c r="C7" s="19" t="n"/>
      <c r="D7" s="19" t="n"/>
      <c r="E7" s="19" t="n"/>
      <c r="F7" s="19" t="inlineStr">
        <is>
          <t>4. Ростов — центральный узел кластера</t>
        </is>
      </c>
      <c r="G7" s="19" t="inlineStr">
        <is>
          <t>планируется</t>
        </is>
      </c>
      <c r="H7" s="20" t="n"/>
      <c r="I7" s="19" t="n">
        <v>4</v>
      </c>
      <c r="J7" s="19" t="inlineStr">
        <is>
          <t>Требуется окно на перезапуск базы: новые вызовы не устанавливаются около минуты.</t>
        </is>
      </c>
      <c r="N7" s="18" t="n"/>
    </row>
    <row r="8">
      <c r="C8" s="19" t="n"/>
      <c r="D8" s="19" t="n"/>
      <c r="E8" s="19" t="n"/>
      <c r="F8" s="19" t="inlineStr">
        <is>
          <t>5. Пилотный вынос — Нижний Новгород</t>
        </is>
      </c>
      <c r="G8" s="19" t="inlineStr">
        <is>
          <t>планируется</t>
        </is>
      </c>
      <c r="H8" s="20" t="n"/>
      <c r="I8" s="19" t="n">
        <v>10</v>
      </c>
      <c r="J8" s="19" t="inlineStr">
        <is>
          <t>Контрольная точка этапа 1. Пилот перенесён с Воронежа на Нижний Новгород: 445 абонентов Воронежа выведены во второй этап, поэтому обкатка идёт на 164 абонентах. Схема проверяется на меньшем масштабе, чем самая нагруженная площадка.</t>
        </is>
      </c>
      <c r="O8" s="18" t="n"/>
      <c r="P8" s="18" t="n"/>
    </row>
    <row r="9">
      <c r="C9" s="19" t="n"/>
      <c r="D9" s="19" t="n"/>
      <c r="E9" s="19" t="n"/>
      <c r="F9" s="19" t="inlineStr">
        <is>
          <t>6. Тиражирование на остальные выносы этапа 1</t>
        </is>
      </c>
      <c r="G9" s="19" t="inlineStr">
        <is>
          <t>планируется</t>
        </is>
      </c>
      <c r="H9" s="20" t="n"/>
      <c r="I9" s="19" t="n">
        <v>10</v>
      </c>
      <c r="J9" s="19" t="inlineStr">
        <is>
          <t>Выносы вводятся по одному, работы по площадкам не совмещаются. Регион 5 в исходных данных назван «Москва, СПб, Новосибирск» — при реальном размещении абонентов в Новосибирске площадка исключается из синхронной репликации.</t>
        </is>
      </c>
      <c r="Q9" s="18" t="n"/>
      <c r="R9" s="18" t="n"/>
    </row>
    <row r="10">
      <c r="C10" s="19" t="n"/>
      <c r="D10" s="19" t="n"/>
      <c r="E10" s="19" t="n"/>
      <c r="F10" s="19" t="inlineStr">
        <is>
          <t>7. Учебная передача роли центрального узла</t>
        </is>
      </c>
      <c r="G10" s="19" t="inlineStr">
        <is>
          <t>планируется</t>
        </is>
      </c>
      <c r="H10" s="20" t="n"/>
      <c r="I10" s="19" t="n">
        <v>3</v>
      </c>
      <c r="J10" s="19" t="inlineStr">
        <is>
          <t>Отдельной машины под резервный центральный узел нет: роль передаётся на один из рабочих выносов. Процедура обязана быть опробована заранее.</t>
        </is>
      </c>
      <c r="S10" s="18" t="n"/>
    </row>
    <row r="11">
      <c r="C11" s="19" t="n"/>
      <c r="D11" s="19" t="n"/>
      <c r="E11" s="19" t="n"/>
      <c r="F11" s="19" t="inlineStr">
        <is>
          <t>8. Консолидация мелких АТС этапа 1</t>
        </is>
      </c>
      <c r="G11" s="19" t="inlineStr">
        <is>
          <t>планируется</t>
        </is>
      </c>
      <c r="H11" s="20" t="n"/>
      <c r="I11" s="19" t="n">
        <v>6</v>
      </c>
      <c r="J11" s="19" t="inlineStr"/>
      <c r="Q11" s="18" t="n"/>
      <c r="R11" s="18" t="n"/>
      <c r="S11" s="18" t="n"/>
      <c r="T11" s="18" t="n"/>
    </row>
    <row r="12">
      <c r="C12" s="19" t="n"/>
      <c r="D12" s="19" t="n"/>
      <c r="E12" s="19" t="n"/>
      <c r="F12" s="19" t="inlineStr">
        <is>
          <t>9. Перевод абонентов этапа 1 на единый план нумерации</t>
        </is>
      </c>
      <c r="G12" s="19" t="inlineStr">
        <is>
          <t>планируется</t>
        </is>
      </c>
      <c r="H12" s="20" t="n"/>
      <c r="I12" s="19" t="n">
        <v>12</v>
      </c>
      <c r="J12" s="19" t="inlineStr">
        <is>
          <t>Организационный поток, идёт силами второго исполнителя. Переходный период не менее месяца, старый номер остаётся рабочим.</t>
        </is>
      </c>
      <c r="O12" s="18" t="n"/>
      <c r="P12" s="18" t="n"/>
      <c r="Q12" s="18" t="n"/>
      <c r="R12" s="18" t="n"/>
      <c r="S12" s="18" t="n"/>
      <c r="T12" s="18" t="n"/>
      <c r="U12" s="18" t="n"/>
    </row>
    <row r="13">
      <c r="C13" s="19" t="n"/>
      <c r="D13" s="19" t="n"/>
      <c r="E13" s="19" t="n"/>
      <c r="F13" s="19" t="inlineStr">
        <is>
          <t>10. Воронежский вынос</t>
        </is>
      </c>
      <c r="G13" s="19" t="inlineStr">
        <is>
          <t>планируется</t>
        </is>
      </c>
      <c r="H13" s="20" t="n"/>
      <c r="I13" s="19" t="n">
        <v>8</v>
      </c>
      <c r="J13" s="19" t="inlineStr">
        <is>
          <t>САМЫЙ КРУПНЫЙ ВЫНОС ИДЁТ ПОСЛЕДНИМ. Плюс: к неделе 12 процедура отработана на трёх площадках. Минус: 445 абонентов — треть периметра — переводятся в конце графика, и запаса после них не остаётся. Резерв на этап 2 не заложен; если он нужен, срок сдвигается вправо, а не ужимается.</t>
        </is>
      </c>
      <c r="V13" s="18" t="n"/>
      <c r="W13" s="18" t="n"/>
    </row>
    <row r="14">
      <c r="C14" s="19" t="n"/>
      <c r="D14" s="19" t="n"/>
      <c r="E14" s="19" t="n"/>
      <c r="F14" s="19" t="inlineStr">
        <is>
          <t>11. Консолидация воронежских АТС</t>
        </is>
      </c>
      <c r="G14" s="19" t="inlineStr">
        <is>
          <t>планируется</t>
        </is>
      </c>
      <c r="H14" s="20" t="n"/>
      <c r="I14" s="19" t="n">
        <v>6</v>
      </c>
      <c r="J14" s="19" t="inlineStr">
        <is>
          <t>Мясокомбинат — 187 абонентов, вторая по величине станция периметра. Переносится сразу после ввода воронежского выноса, в ту же неделю не совмещать.</t>
        </is>
      </c>
      <c r="W14" s="18" t="n"/>
      <c r="X14" s="18" t="n"/>
    </row>
    <row r="15">
      <c r="C15" s="19" t="n"/>
      <c r="D15" s="19" t="n"/>
      <c r="E15" s="19" t="n"/>
      <c r="F15" s="19" t="inlineStr">
        <is>
          <t>12. Перевод воронежских абонентов на единый план нумерации</t>
        </is>
      </c>
      <c r="G15" s="19" t="inlineStr">
        <is>
          <t>планируется</t>
        </is>
      </c>
      <c r="H15" s="20" t="n"/>
      <c r="I15" s="19" t="n">
        <v>6</v>
      </c>
      <c r="J15" s="19" t="inlineStr"/>
      <c r="W15" s="18" t="n"/>
      <c r="X15" s="18" t="n"/>
      <c r="Y15" s="18" t="n"/>
    </row>
    <row r="18">
      <c r="F18" s="8" t="inlineStr">
        <is>
          <t>Статусы открытых/закрытых проектов:</t>
        </is>
      </c>
    </row>
    <row r="19">
      <c r="F19" s="21" t="inlineStr">
        <is>
          <t>норма</t>
        </is>
      </c>
      <c r="G19" s="11" t="inlineStr">
        <is>
          <t>отклонений по плановым срокам основных вех/трудозатратам нет</t>
        </is>
      </c>
    </row>
    <row r="20">
      <c r="F20" s="22" t="inlineStr">
        <is>
          <t>внимание</t>
        </is>
      </c>
      <c r="G20" s="11" t="inlineStr">
        <is>
          <t>есть вероятность отклонений по плановым срокам основных вех/трудозатратам, которые могут повлиять на изменение плановых сроков/трудозатрат проекта</t>
        </is>
      </c>
    </row>
    <row r="21">
      <c r="F21" s="23" t="inlineStr">
        <is>
          <t>тревога</t>
        </is>
      </c>
      <c r="G21" s="11" t="inlineStr">
        <is>
          <t>есть отклонения по плановым срокам основных вех/трудозатратам</t>
        </is>
      </c>
    </row>
  </sheetData>
  <mergeCells count="7">
    <mergeCell ref="X1:Y1"/>
    <mergeCell ref="G20:J20"/>
    <mergeCell ref="S1:W1"/>
    <mergeCell ref="G21:J21"/>
    <mergeCell ref="K1:N1"/>
    <mergeCell ref="G19:J19"/>
    <mergeCell ref="O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2026-08-20T20:31:16Z</dcterms:created>
  <dcterms:modified xsi:type="dcterms:W3CDTF">2026-08-20T20:31:16Z</dcterms:modified>
</cp:coreProperties>
</file>