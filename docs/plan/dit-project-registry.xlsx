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араметры и допущения" sheetId="1" state="visible" r:id="rId1"/>
    <sheet name="Приоритет1_открытые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13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10"/>
    </font>
    <font>
      <name val="Arial"/>
      <b val="1"/>
      <sz val="10"/>
    </font>
    <font>
      <name val="Arial"/>
      <sz val="10"/>
    </font>
    <font>
      <name val="Arial"/>
      <b val="1"/>
      <sz val="11"/>
    </font>
    <font>
      <name val="Arial"/>
      <i val="1"/>
      <sz val="9"/>
    </font>
    <font>
      <name val="Arial"/>
      <b val="1"/>
      <sz val="12"/>
    </font>
    <font>
      <name val="Calibri"/>
      <sz val="9"/>
    </font>
    <font>
      <name val="Arial"/>
      <b val="1"/>
      <sz val="9"/>
    </font>
    <font>
      <name val="Calibri"/>
      <sz val="12"/>
    </font>
    <font>
      <name val="Arial"/>
      <b val="1"/>
      <color rgb="00000000"/>
      <sz val="11"/>
    </font>
    <font>
      <name val="Arial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FFFF00"/>
      </patternFill>
    </fill>
    <fill>
      <patternFill patternType="solid">
        <fgColor rgb="FF92D050"/>
      </patternFill>
    </fill>
    <fill>
      <patternFill patternType="solid">
        <fgColor rgb="FFFFFF99"/>
      </patternFill>
    </fill>
    <fill>
      <patternFill patternType="solid">
        <fgColor rgb="FFFF00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5" fontId="4" fillId="0" borderId="1" applyAlignment="1" pivotButton="0" quotePrefix="0" xfId="0">
      <alignment vertical="top" wrapText="1"/>
    </xf>
    <xf numFmtId="3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4" fillId="3" borderId="1" pivotButton="0" quotePrefix="0" xfId="0"/>
    <xf numFmtId="0" fontId="4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7" fillId="4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0" fillId="4" borderId="1" pivotButton="0" quotePrefix="0" xfId="0"/>
    <xf numFmtId="0" fontId="10" fillId="0" borderId="1" applyAlignment="1" pivotButton="0" quotePrefix="0" xfId="0">
      <alignment vertical="top" wrapText="1"/>
    </xf>
    <xf numFmtId="0" fontId="10" fillId="3" borderId="1" applyAlignment="1" pivotButton="0" quotePrefix="0" xfId="0">
      <alignment vertical="top" wrapText="1"/>
    </xf>
    <xf numFmtId="0" fontId="11" fillId="4" borderId="1" applyAlignment="1" pivotButton="0" quotePrefix="0" xfId="0">
      <alignment horizontal="center"/>
    </xf>
    <xf numFmtId="0" fontId="11" fillId="5" borderId="1" applyAlignment="1" pivotButton="0" quotePrefix="0" xfId="0">
      <alignment horizontal="center"/>
    </xf>
    <xf numFmtId="0" fontId="12" fillId="6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96" customWidth="1" min="3" max="3"/>
  </cols>
  <sheetData>
    <row r="1">
      <c r="A1" s="1" t="inlineStr">
        <is>
          <t>Отказоустойчивый кластер телефонии на шесть регионов</t>
        </is>
      </c>
    </row>
    <row r="2">
      <c r="A2" s="2" t="inlineStr">
        <is>
          <t>Параметры расчёта. Все прочие листы считают от этих значений — меняйте здесь, а не в самом плане.</t>
        </is>
      </c>
    </row>
    <row r="4" ht="18" customHeight="1">
      <c r="A4" s="3" t="inlineStr">
        <is>
          <t>Показатель</t>
        </is>
      </c>
      <c r="B4" s="3" t="inlineStr">
        <is>
          <t>Значение</t>
        </is>
      </c>
      <c r="C4" s="3" t="inlineStr">
        <is>
          <t>Откуда взято</t>
        </is>
      </c>
    </row>
    <row r="5">
      <c r="A5" s="4" t="inlineStr">
        <is>
          <t>Дата начала работ</t>
        </is>
      </c>
      <c r="B5" s="5" t="n">
        <v>46272</v>
      </c>
      <c r="C5" s="4" t="inlineStr">
        <is>
          <t>ДОПУЩЕНИЕ. Понедельник. Отсчёт идёт от старта работ, то есть от стадии «проект открыт». Стадии 0–4 воронки плана автоматизации (постановка задачи, оценка, согласование карточки, ВЕ, приказа) в эти 13 недель не входят и идут до них.</t>
        </is>
      </c>
    </row>
    <row r="6">
      <c r="A6" s="4" t="inlineStr">
        <is>
          <t>Длительность, недель</t>
        </is>
      </c>
      <c r="B6" s="4" t="n">
        <v>13</v>
      </c>
      <c r="C6" s="4" t="inlineStr">
        <is>
          <t>План внедрения, docs/12-rollout-schedule.md</t>
        </is>
      </c>
    </row>
    <row r="7">
      <c r="A7" s="4" t="inlineStr">
        <is>
          <t>Дата завершения работ</t>
        </is>
      </c>
      <c r="B7" s="5" t="n">
        <v>46360</v>
      </c>
      <c r="C7" s="4" t="inlineStr">
        <is>
          <t>Дата начала + 13 недель, последний рабочий день</t>
        </is>
      </c>
    </row>
    <row r="8">
      <c r="A8" s="4" t="inlineStr">
        <is>
          <t>Трудозатраты всего, ч-д</t>
        </is>
      </c>
      <c r="B8" s="4" t="n">
        <v>85</v>
      </c>
      <c r="C8" s="4" t="inlineStr">
        <is>
          <t>Сумма по этапам, см. лист плана</t>
        </is>
      </c>
    </row>
    <row r="9">
      <c r="A9" s="4" t="inlineStr">
        <is>
          <t xml:space="preserve">  в том числе инженер кластера</t>
        </is>
      </c>
      <c r="B9" s="4" t="n">
        <v>56</v>
      </c>
      <c r="C9" s="4" t="inlineStr">
        <is>
          <t>Этапы 1–7. Помещается в 13 недель × 5 дней = 65 ч-д одного человека.</t>
        </is>
      </c>
    </row>
    <row r="10">
      <c r="A10" s="4" t="inlineStr">
        <is>
          <t xml:space="preserve">  в том числе второй исполнитель</t>
        </is>
      </c>
      <c r="B10" s="4" t="n">
        <v>29</v>
      </c>
      <c r="C10" s="4" t="inlineStr">
        <is>
          <t>Этапы 8–9 (консолидация мелких АТС и перенумерация) — работа организационная, идёт параллельно силами второго человека с частичной занятостью. Одним инженером 85 ч-д за 13 недель не выполняются, это ограничение плана, а не оценка.</t>
        </is>
      </c>
    </row>
    <row r="11">
      <c r="A11" s="4" t="inlineStr">
        <is>
          <t>Внутренняя ставка, ₽/ч-д</t>
        </is>
      </c>
      <c r="B11" s="4" t="n">
        <v>11515</v>
      </c>
      <c r="C11" s="4" t="inlineStr">
        <is>
          <t>Из формулы =11515*M4 в файле «План работ ДИТ 2023.xlsx», колонка «Плановая себестоимость внутренних затрат».</t>
        </is>
      </c>
    </row>
    <row r="12">
      <c r="A12" s="4" t="inlineStr">
        <is>
          <t>Плановая себестоимость внутренних затрат, ₽ без НДС</t>
        </is>
      </c>
      <c r="B12" s="6">
        <f>B8*B11</f>
        <v>978775</v>
      </c>
      <c r="C12" s="4" t="inlineStr">
        <is>
          <t>Трудозатраты × ставка, рассчитывается формулой</t>
        </is>
      </c>
    </row>
    <row r="13">
      <c r="A13" s="4" t="inlineStr">
        <is>
          <t>Плановая себестоимость внешних затрат, ₽ без НДС</t>
        </is>
      </c>
      <c r="B13" s="6" t="n">
        <v>0</v>
      </c>
      <c r="C13" s="4" t="inlineStr">
        <is>
          <t>Всё программное обеспечение бесплатное: MariaDB Galera, Asterisk, FreePBX, OSS PBX End Point Manager. Сервер под московский узел проходит закупкой, в себестоимость работ не входит — как и во всех строках исходного плана ДИТ.</t>
        </is>
      </c>
    </row>
    <row r="14">
      <c r="A14" s="4" t="inlineStr">
        <is>
          <t>Абонентов в периметре</t>
        </is>
      </c>
      <c r="B14" s="4" t="n">
        <v>1255</v>
      </c>
      <c r="C14" s="4" t="inlineStr">
        <is>
          <t>Аудит 12 станций, docs/plan/numbering-plan.csv</t>
        </is>
      </c>
    </row>
    <row r="15">
      <c r="A15" s="4" t="inlineStr">
        <is>
          <t>Станций сейчас</t>
        </is>
      </c>
      <c r="B15" s="4" t="n">
        <v>12</v>
      </c>
      <c r="C15" s="4" t="inlineStr">
        <is>
          <t>Там же</t>
        </is>
      </c>
    </row>
    <row r="16">
      <c r="A16" s="4" t="inlineStr">
        <is>
          <t>Узлов кластера после внедрения</t>
        </is>
      </c>
      <c r="B16" s="4" t="n">
        <v>5</v>
      </c>
      <c r="C16" s="4" t="inlineStr">
        <is>
          <t>Ростов (мастер) 426, Воронеж 445, Нижний Новгород 164, Славянск-на-Кубани 140, Москва 80. Сумма 1255 сходится с аудитом.</t>
        </is>
      </c>
    </row>
    <row r="17">
      <c r="A17" s="4" t="inlineStr">
        <is>
          <t>Голосов в кворуме</t>
        </is>
      </c>
      <c r="B17" s="4" t="n">
        <v>5</v>
      </c>
      <c r="C17" s="4" t="inlineStr">
        <is>
          <t>Пять узлов, число нечётное — отдельный арбитр не нужен. Кластер переживает потерю двух узлов из пяти.</t>
        </is>
      </c>
    </row>
    <row r="18">
      <c r="A18" s="4" t="inlineStr">
        <is>
          <t>Серверов нужно докупить</t>
        </is>
      </c>
      <c r="B18" s="4" t="n">
        <v>1</v>
      </c>
      <c r="C18" s="4" t="inlineStr">
        <is>
          <t>ДОПУЩЕНИЕ: «у нас 5 серверов» прочитано как пять узлов кластера. Четыре площадки уже имеют свои машины, новый сервер нужен только под Москву. Ставрополь (74 абонента) остаётся на ростовском сервере, как сейчас.</t>
        </is>
      </c>
    </row>
    <row r="19">
      <c r="A19" s="4" t="inlineStr">
        <is>
          <t>Резервный мастер отдельной машиной</t>
        </is>
      </c>
      <c r="B19" s="4" t="inlineStr">
        <is>
          <t>нет</t>
        </is>
      </c>
      <c r="C19" s="4" t="inlineStr">
        <is>
          <t>Пятый сервер занят московским узлом. Отдельная машина под тёплый резерв не требуется: каждый узел — клон мастера, FreePBX на нём уже установлен и только отключён, поэтому роль мастера передаётся на любой рабочий узел. Процедура отрабатывается на этапе 7 учебно.</t>
        </is>
      </c>
    </row>
    <row r="24">
      <c r="A24" s="7" t="inlineStr">
        <is>
          <t>Что нужно заполнить вручную</t>
        </is>
      </c>
    </row>
    <row r="25">
      <c r="A25" s="8" t="inlineStr">
        <is>
          <t>Заказчик</t>
        </is>
      </c>
      <c r="C25" s="9" t="inlineStr">
        <is>
          <t>Руководитель, от которого идёт задача. Формат «И. Фамилия».</t>
        </is>
      </c>
    </row>
    <row r="26">
      <c r="A26" s="8" t="inlineStr">
        <is>
          <t>Исполнитель</t>
        </is>
      </c>
      <c r="C26" s="9" t="inlineStr">
        <is>
          <t>Инженер проекта и ответственные за стадии. Формат «И. Фамилия».</t>
        </is>
      </c>
    </row>
    <row r="27">
      <c r="A27" s="8" t="inlineStr">
        <is>
          <t>Номер приказа / внутреннего проекта</t>
        </is>
      </c>
      <c r="C27" s="9" t="inlineStr">
        <is>
          <t>Присваивается при открытии проекта.</t>
        </is>
      </c>
    </row>
    <row r="28">
      <c r="A28" s="8" t="inlineStr">
        <is>
          <t>IP-адреса Славянска-на-Кубани и локального PBX</t>
        </is>
      </c>
      <c r="C28" s="9" t="inlineStr">
        <is>
          <t>В исходных данных аудита отсутствуют, запрашиваются в первую неделю.</t>
        </is>
      </c>
    </row>
    <row r="31">
      <c r="A31" s="10" t="inlineStr">
        <is>
          <t>Жёлтой заливкой отмечены ячейки, которые заполняются вручную.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1:W18"/>
  <sheetViews>
    <sheetView zoomScale="80" workbookViewId="0">
      <pane xSplit="10" ySplit="2" topLeftCell="K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.699999999999999" customWidth="1" min="1" max="1"/>
    <col width="23.9" customWidth="1" min="2" max="2"/>
    <col width="12" customWidth="1" min="3" max="3"/>
    <col width="22" customWidth="1" min="4" max="4"/>
    <col width="16.6" customWidth="1" min="5" max="5"/>
    <col width="70.7" customWidth="1" min="6" max="6"/>
    <col width="18.3" customWidth="1" min="7" max="7"/>
    <col width="18.4" customWidth="1" min="8" max="8"/>
    <col width="8.9" customWidth="1" min="9" max="9"/>
    <col width="45.4" customWidth="1" min="10" max="10"/>
    <col width="3.9" customWidth="1" min="11" max="11"/>
    <col width="3.9" customWidth="1" min="12" max="12"/>
    <col width="3.9" customWidth="1" min="13" max="13"/>
    <col width="3.9" customWidth="1" min="14" max="14"/>
    <col width="3.9" customWidth="1" min="15" max="15"/>
    <col width="3.9" customWidth="1" min="16" max="16"/>
    <col width="3.9" customWidth="1" min="17" max="17"/>
    <col width="3.9" customWidth="1" min="18" max="18"/>
    <col width="3.9" customWidth="1" min="19" max="19"/>
    <col width="3.9" customWidth="1" min="20" max="20"/>
    <col width="3.9" customWidth="1" min="21" max="21"/>
    <col width="3.9" customWidth="1" min="22" max="22"/>
    <col width="3.9" customWidth="1" min="23" max="23"/>
  </cols>
  <sheetData>
    <row r="1" ht="40" customHeight="1">
      <c r="C1" s="11" t="inlineStr">
        <is>
          <t>Статус проекта</t>
        </is>
      </c>
      <c r="D1" s="11" t="inlineStr">
        <is>
          <t>Срок проекта</t>
        </is>
      </c>
      <c r="E1" s="11" t="inlineStr">
        <is>
          <t>Заказчик</t>
        </is>
      </c>
      <c r="F1" s="11" t="inlineStr">
        <is>
          <t>Проект</t>
        </is>
      </c>
      <c r="G1" s="11" t="inlineStr">
        <is>
          <t>Стадии выполнения работ</t>
        </is>
      </c>
      <c r="H1" s="11" t="inlineStr">
        <is>
          <t>Исполнитель</t>
        </is>
      </c>
      <c r="I1" s="11" t="inlineStr">
        <is>
          <t>ТРЗ, ч/д</t>
        </is>
      </c>
      <c r="J1" s="11" t="inlineStr">
        <is>
          <t>Проблемы/Риски</t>
        </is>
      </c>
      <c r="K1" s="12" t="inlineStr">
        <is>
          <t>Сентябрь 2026</t>
        </is>
      </c>
      <c r="O1" s="12" t="inlineStr">
        <is>
          <t>Октябрь 2026</t>
        </is>
      </c>
      <c r="S1" s="12" t="inlineStr">
        <is>
          <t>Ноябрь 2026</t>
        </is>
      </c>
    </row>
    <row r="2">
      <c r="K2" s="13" t="inlineStr">
        <is>
          <t>07-13</t>
        </is>
      </c>
      <c r="L2" s="13" t="inlineStr">
        <is>
          <t>14-20</t>
        </is>
      </c>
      <c r="M2" s="13" t="inlineStr">
        <is>
          <t>21-27</t>
        </is>
      </c>
      <c r="N2" s="13" t="inlineStr">
        <is>
          <t>28-04</t>
        </is>
      </c>
      <c r="O2" s="13" t="inlineStr">
        <is>
          <t>05-11</t>
        </is>
      </c>
      <c r="P2" s="13" t="inlineStr">
        <is>
          <t>12-18</t>
        </is>
      </c>
      <c r="Q2" s="13" t="inlineStr">
        <is>
          <t>19-25</t>
        </is>
      </c>
      <c r="R2" s="13" t="inlineStr">
        <is>
          <t>26-01</t>
        </is>
      </c>
      <c r="S2" s="13" t="inlineStr">
        <is>
          <t>02-08</t>
        </is>
      </c>
      <c r="T2" s="13" t="inlineStr">
        <is>
          <t>09-15</t>
        </is>
      </c>
      <c r="U2" s="13" t="inlineStr">
        <is>
          <t>16-22</t>
        </is>
      </c>
      <c r="V2" s="13" t="inlineStr">
        <is>
          <t>23-29</t>
        </is>
      </c>
      <c r="W2" s="13" t="inlineStr">
        <is>
          <t>30-06</t>
        </is>
      </c>
    </row>
    <row r="3">
      <c r="C3" s="14" t="inlineStr">
        <is>
          <t>норма</t>
        </is>
      </c>
      <c r="D3" s="14" t="inlineStr">
        <is>
          <t>07.09.26 - 04.12.26</t>
        </is>
      </c>
      <c r="E3" s="15" t="n"/>
      <c r="F3" s="14" t="inlineStr">
        <is>
          <t>Отказоустойчивый кластер телефонии на шесть регионов</t>
        </is>
      </c>
      <c r="G3" s="14" t="inlineStr">
        <is>
          <t>планируется</t>
        </is>
      </c>
      <c r="H3" s="15" t="n"/>
      <c r="I3" s="14">
        <f>SUM(I4:I12)</f>
        <v>85</v>
      </c>
      <c r="J3" s="14" t="inlineStr">
        <is>
          <t>1255 абонентов на 12 станциях сводятся в кластер из 8 узлов. Два узла (Ставрополь, Москва) создаются заново — своей АТС там нет, абоненты обслуживаются из Ростова. Контрольная точка после первой площадки: тиражирование не начинается, пока Воронеж не отработает две недели без замечаний.</t>
        </is>
      </c>
      <c r="K3" s="16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</row>
    <row r="4">
      <c r="C4" s="17" t="n"/>
      <c r="D4" s="17" t="n"/>
      <c r="E4" s="17" t="n"/>
      <c r="F4" s="17" t="inlineStr">
        <is>
          <t>1. Подготовка: сеть, серверы, договорённости с операторами</t>
        </is>
      </c>
      <c r="G4" s="17" t="inlineStr">
        <is>
          <t>планируется</t>
        </is>
      </c>
      <c r="H4" s="18" t="n"/>
      <c r="I4" s="17" t="n">
        <v>8</v>
      </c>
      <c r="J4" s="17" t="inlineStr">
        <is>
          <t>RTT выше 50 мс до площадки — площадка не включается в синхронную репликацию, получает автономную АТС с транком. Отсутствие IP у Славянска-на-Кубани и локального PBX блокирует недели 8 и 12. Оператор может не дать отдельных пользователей ВАТС — тогда площадка работает через мастер.</t>
        </is>
      </c>
      <c r="K4" s="16" t="n"/>
      <c r="L4" s="16" t="n"/>
    </row>
    <row r="5">
      <c r="C5" s="17" t="n"/>
      <c r="D5" s="17" t="n"/>
      <c r="E5" s="17" t="n"/>
      <c r="F5" s="17" t="inlineStr">
        <is>
          <t>2. Смена учётных данных и защита периметра</t>
        </is>
      </c>
      <c r="G5" s="17" t="inlineStr">
        <is>
          <t>планируется</t>
        </is>
      </c>
      <c r="H5" s="18" t="n"/>
      <c r="I5" s="17" t="n">
        <v>10</v>
      </c>
      <c r="J5" s="17" t="inlineStr"/>
      <c r="K5" s="16" t="n"/>
      <c r="L5" s="16" t="n"/>
    </row>
    <row r="6">
      <c r="C6" s="17" t="n"/>
      <c r="D6" s="17" t="n"/>
      <c r="E6" s="17" t="n"/>
      <c r="F6" s="17" t="inlineStr">
        <is>
          <t>3. Испытательный стенд</t>
        </is>
      </c>
      <c r="G6" s="17" t="inlineStr">
        <is>
          <t>планируется</t>
        </is>
      </c>
      <c r="H6" s="18" t="n"/>
      <c r="I6" s="17" t="n">
        <v>6</v>
      </c>
      <c r="J6" s="17" t="inlineStr"/>
      <c r="M6" s="16" t="n"/>
    </row>
    <row r="7">
      <c r="C7" s="17" t="n"/>
      <c r="D7" s="17" t="n"/>
      <c r="E7" s="17" t="n"/>
      <c r="F7" s="17" t="inlineStr">
        <is>
          <t>4. Перевод ростовской АТС в режим мастера кластера</t>
        </is>
      </c>
      <c r="G7" s="17" t="inlineStr">
        <is>
          <t>планируется</t>
        </is>
      </c>
      <c r="H7" s="18" t="n"/>
      <c r="I7" s="17" t="n">
        <v>4</v>
      </c>
      <c r="J7" s="17" t="inlineStr">
        <is>
          <t>Требуется окно на перезапуск базы: новые вызовы не устанавливаются около минуты.</t>
        </is>
      </c>
      <c r="N7" s="16" t="n"/>
    </row>
    <row r="8">
      <c r="C8" s="17" t="n"/>
      <c r="D8" s="17" t="n"/>
      <c r="E8" s="17" t="n"/>
      <c r="F8" s="17" t="inlineStr">
        <is>
          <t>5. Первая площадка — Воронеж</t>
        </is>
      </c>
      <c r="G8" s="17" t="inlineStr">
        <is>
          <t>планируется</t>
        </is>
      </c>
      <c r="H8" s="18" t="n"/>
      <c r="I8" s="17" t="n">
        <v>10</v>
      </c>
      <c r="J8" s="17" t="inlineStr">
        <is>
          <t>Контрольная точка: при проблемах на Воронеже тиражирование не начинается, пока они не закрыты. При сжатом сроке это единственный запас в плане — сдвиг здесь двигает весь график.</t>
        </is>
      </c>
      <c r="O8" s="16" t="n"/>
      <c r="P8" s="16" t="n"/>
    </row>
    <row r="9">
      <c r="C9" s="17" t="n"/>
      <c r="D9" s="17" t="n"/>
      <c r="E9" s="17" t="n"/>
      <c r="F9" s="17" t="inlineStr">
        <is>
          <t>6. Тиражирование на три площадки</t>
        </is>
      </c>
      <c r="G9" s="17" t="inlineStr">
        <is>
          <t>планируется</t>
        </is>
      </c>
      <c r="H9" s="18" t="n"/>
      <c r="I9" s="17" t="n">
        <v>15</v>
      </c>
      <c r="J9" s="17" t="inlineStr">
        <is>
          <t>Узлы перевводятся по одному, работы по площадкам не совмещаются. Регион 5 в исходных данных назван «Москва, СПб, Новосибирск» — при реальном размещении абонентов в Новосибирске площадка исключается из синхронной репликации.</t>
        </is>
      </c>
      <c r="Q9" s="16" t="n"/>
      <c r="R9" s="16" t="n"/>
      <c r="S9" s="16" t="n"/>
    </row>
    <row r="10">
      <c r="C10" s="17" t="n"/>
      <c r="D10" s="17" t="n"/>
      <c r="E10" s="17" t="n"/>
      <c r="F10" s="17" t="inlineStr">
        <is>
          <t>7. Учебная передача роли мастера</t>
        </is>
      </c>
      <c r="G10" s="17" t="inlineStr">
        <is>
          <t>планируется</t>
        </is>
      </c>
      <c r="H10" s="18" t="n"/>
      <c r="I10" s="17" t="n">
        <v>3</v>
      </c>
      <c r="J10" s="17" t="inlineStr">
        <is>
          <t>Отдельной машины под резервный мастер нет: роль передаётся на один из рабочих узлов. Процедура обязана быть опробована заранее, иначе в аварию не сработает.</t>
        </is>
      </c>
      <c r="T10" s="16" t="n"/>
    </row>
    <row r="11">
      <c r="C11" s="17" t="n"/>
      <c r="D11" s="17" t="n"/>
      <c r="E11" s="17" t="n"/>
      <c r="F11" s="17" t="inlineStr">
        <is>
          <t>8. Консолидация мелких АТС</t>
        </is>
      </c>
      <c r="G11" s="17" t="inlineStr">
        <is>
          <t>планируется</t>
        </is>
      </c>
      <c r="H11" s="18" t="n"/>
      <c r="I11" s="17" t="n">
        <v>14</v>
      </c>
      <c r="J11" s="17" t="inlineStr"/>
      <c r="P11" s="16" t="n"/>
      <c r="Q11" s="16" t="n"/>
      <c r="R11" s="16" t="n"/>
      <c r="S11" s="16" t="n"/>
      <c r="T11" s="16" t="n"/>
      <c r="U11" s="16" t="n"/>
      <c r="V11" s="16" t="n"/>
    </row>
    <row r="12">
      <c r="C12" s="17" t="n"/>
      <c r="D12" s="17" t="n"/>
      <c r="E12" s="17" t="n"/>
      <c r="F12" s="17" t="inlineStr">
        <is>
          <t>9. Перевод абонентов на единый план нумерации</t>
        </is>
      </c>
      <c r="G12" s="17" t="inlineStr">
        <is>
          <t>планируется</t>
        </is>
      </c>
      <c r="H12" s="18" t="n"/>
      <c r="I12" s="17" t="n">
        <v>15</v>
      </c>
      <c r="J12" s="17" t="inlineStr">
        <is>
          <t>Организационный поток, идёт силами второго исполнителя. Переходный период не менее месяца, старый номер остаётся рабочим.</t>
        </is>
      </c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</row>
    <row r="15">
      <c r="F15" s="7" t="inlineStr">
        <is>
          <t>Статусы открытых/закрытых проектов:</t>
        </is>
      </c>
    </row>
    <row r="16">
      <c r="F16" s="19" t="inlineStr">
        <is>
          <t>норма</t>
        </is>
      </c>
      <c r="G16" s="9" t="inlineStr">
        <is>
          <t>отклонений по плановым срокам основных вех/трудозатратам нет</t>
        </is>
      </c>
    </row>
    <row r="17">
      <c r="F17" s="20" t="inlineStr">
        <is>
          <t>внимание</t>
        </is>
      </c>
      <c r="G17" s="9" t="inlineStr">
        <is>
          <t>есть вероятность отклонений по плановым срокам основных вех/трудозатратам, которые могут повлиять на изменение плановых сроков/трудозатрат проекта</t>
        </is>
      </c>
    </row>
    <row r="18">
      <c r="F18" s="21" t="inlineStr">
        <is>
          <t>тревога</t>
        </is>
      </c>
      <c r="G18" s="9" t="inlineStr">
        <is>
          <t>есть отклонения по плановым срокам основных вех/трудозатратам</t>
        </is>
      </c>
    </row>
  </sheetData>
  <mergeCells count="6">
    <mergeCell ref="G18:J18"/>
    <mergeCell ref="G17:J17"/>
    <mergeCell ref="S1:W1"/>
    <mergeCell ref="G16:J16"/>
    <mergeCell ref="K1:N1"/>
    <mergeCell ref="O1:R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2026-08-13T21:41:11Z</dcterms:created>
  <dcterms:modified xsi:type="dcterms:W3CDTF">2026-08-13T21:41:11Z</dcterms:modified>
</cp:coreProperties>
</file>