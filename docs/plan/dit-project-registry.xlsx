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риоритет1_открытые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2"/>
    </font>
    <font>
      <name val="Calibri"/>
      <sz val="9"/>
    </font>
    <font>
      <name val="Arial"/>
      <b val="1"/>
      <sz val="9"/>
    </font>
    <font>
      <name val="Calibri"/>
      <sz val="12"/>
    </font>
    <font>
      <name val="Arial"/>
      <b val="1"/>
      <color rgb="00000000"/>
      <sz val="11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FF99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7" fillId="5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0" fillId="5" borderId="1" pivotButton="0" quotePrefix="0" xfId="0"/>
    <xf numFmtId="0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Asterisk: центр в московском ЦОД, выносы по городам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 Уточнение: центр размещается в московском ЦОД — мастер на первой площадке, копия на второй; остальные узлы по городам.</t>
        </is>
      </c>
    </row>
    <row r="6">
      <c r="A6" s="5" t="inlineStr">
        <is>
          <t>Скорректированная архитектура</t>
        </is>
      </c>
      <c r="B6" s="5" t="inlineStr">
        <is>
          <t>Савенко В. — до 05.08, выполнено</t>
        </is>
      </c>
      <c r="C6" s="5" t="inlineStr">
        <is>
          <t>Из протокола, п. 3.</t>
        </is>
      </c>
    </row>
    <row r="7">
      <c r="A7" s="5" t="inlineStr">
        <is>
          <t>План работ</t>
        </is>
      </c>
      <c r="B7" s="5" t="inlineStr">
        <is>
          <t>Цеховской В. — срок 20.08</t>
        </is>
      </c>
      <c r="C7" s="5" t="inlineStr">
        <is>
          <t>Из протокола, п. 3. Настоящий файл и есть этот план.</t>
        </is>
      </c>
    </row>
    <row r="8">
      <c r="A8" s="5" t="inlineStr">
        <is>
          <t>Архитектура</t>
        </is>
      </c>
      <c r="B8" s="5" t="inlineStr">
        <is>
          <t>центр в ЦОД + выносы</t>
        </is>
      </c>
      <c r="C8" s="5" t="inlineStr">
        <is>
          <t>Центр — московский ЦОД: ДВА ЖИВЫХ УЗЛА в разных залах. Оба обслуживают вызовы, московские 80 абонентов поделены поровну и прописаны друг другу резервными. Панель управления FreePBX включена только на ЦОД-1. Выносы — Ростов, Ставрополь, Нижний Новгород, Славянск-на-Кубани, Воронеж — работают узлами того же кластера: локальная регистрация телефонов и свой выход в город, при отказе площадки телефоны уходят в ЦОД.</t>
        </is>
      </c>
    </row>
    <row r="9">
      <c r="A9" s="5" t="inlineStr">
        <is>
          <t>Стойки в ЦОД — независимы</t>
        </is>
      </c>
      <c r="B9" s="5" t="inlineStr">
        <is>
          <t>ПОДТВЕРЖДЕНО</t>
        </is>
      </c>
      <c r="C9" s="5" t="inlineStr">
        <is>
          <t>Стойки свои, независимость подтверждена заказчиком. Это снимает главный риск схемы: два узла в ЦОД действительно резервируют друг друга, а не стоят за одним вводом питания.</t>
        </is>
      </c>
    </row>
    <row r="10">
      <c r="A10" s="5" t="inlineStr">
        <is>
          <t>SIP-пользователи у операторов</t>
        </is>
      </c>
      <c r="B10" s="5" t="inlineStr">
        <is>
          <t>заводим сами</t>
        </is>
      </c>
      <c r="C10" s="5" t="inlineStr">
        <is>
          <t>Доступ к кабинету ВАТС есть, учётные записи на площадки создаются самостоятельно. Внешнего согласования и ожидания оператора нет.</t>
        </is>
      </c>
    </row>
    <row r="11">
      <c r="A11" s="5" t="inlineStr">
        <is>
          <t>Внешних зависимостей</t>
        </is>
      </c>
      <c r="B11" s="5" t="inlineStr">
        <is>
          <t>нет</t>
        </is>
      </c>
      <c r="C11" s="5" t="inlineStr">
        <is>
          <t>Все площадки свои, адреса известны, стойки в ЦОД свои, SIP-пользователи заводятся самостоятельно, ПО бесплатное, машины на своей виртуализации. Сроки зависят только от собственных ресурсов — это редкая ситуация, и она означает, что сдвиг графика будет внутренней причиной, а не внешней.</t>
        </is>
      </c>
    </row>
    <row r="12">
      <c r="A12" s="5" t="inlineStr">
        <is>
          <t>Дата начала работ</t>
        </is>
      </c>
      <c r="B12" s="6" t="n">
        <v>46272</v>
      </c>
      <c r="C12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3">
      <c r="A13" s="5" t="inlineStr">
        <is>
          <t>Длительность, недель</t>
        </is>
      </c>
      <c r="B13" s="5" t="n">
        <v>16</v>
      </c>
      <c r="C13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4">
      <c r="A14" s="5" t="inlineStr">
        <is>
          <t>Дата завершения работ</t>
        </is>
      </c>
      <c r="B14" s="6" t="n">
        <v>46381</v>
      </c>
      <c r="C14" s="5" t="inlineStr">
        <is>
          <t>Дата начала + 15 недель, последний рабочий день</t>
        </is>
      </c>
    </row>
    <row r="15">
      <c r="A15" s="4" t="inlineStr">
        <is>
          <t>ЭТАП 1 — центр в ЦОД + все выносы, кроме Воронежа</t>
        </is>
      </c>
      <c r="B15" s="4" t="inlineStr">
        <is>
          <t>недели 1–12, 810 абонентов</t>
        </is>
      </c>
      <c r="C15" s="4" t="inlineStr">
        <is>
          <t>ЦОД-1 40 и ЦОД-2 40, Ростов 352, Ставрополь 74, Нижний Новгород 164, Славянск-на-Кубани 140.</t>
        </is>
      </c>
    </row>
    <row r="16">
      <c r="A16" s="4" t="inlineStr">
        <is>
          <t>ЭТАП 2 — Воронеж</t>
        </is>
      </c>
      <c r="B16" s="4" t="inlineStr">
        <is>
          <t>недели 13–16, 445 абонентов</t>
        </is>
      </c>
      <c r="C16" s="4" t="inlineStr">
        <is>
          <t>Воронеж 229, Мясокомбинат 187, Калуга 29.</t>
        </is>
      </c>
    </row>
    <row r="17">
      <c r="A17" s="5" t="inlineStr">
        <is>
          <t>Ставрополь получает свою АТС</t>
        </is>
      </c>
      <c r="B17" s="5" t="inlineStr">
        <is>
          <t>да, задача 8.2</t>
        </is>
      </c>
      <c r="C17" s="5" t="inlineStr">
        <is>
          <t>Раньше его 74 абонента висели на ростовском сервере и зависели от канала до Ростова. Своя АТС даёт им локальную живучесть и попутно делает число узлов нечётным.</t>
        </is>
      </c>
    </row>
    <row r="18">
      <c r="A18" s="5" t="inlineStr">
        <is>
          <t>Порядок переноса центра</t>
        </is>
      </c>
      <c r="B18" s="5" t="inlineStr">
        <is>
          <t>Ростов → ЦОД-1 → +ЦОД-2</t>
        </is>
      </c>
      <c r="C18" s="5" t="inlineStr">
        <is>
          <t>Вся боевая база сейчас на ростовской АТС. Сначала она вводится в кластер как первый узел (задача 4), затем клонируется в ЦОД-1 и роль мастера передаётся туда, затем ЦОД-1 клонируется в ЦОД-2 (задача 5). Ростов после этого — обычный вынос со своими 352 абонентами. Переустановки нет ни на одном шаге, откат — возврат роли на Ростов.</t>
        </is>
      </c>
    </row>
    <row r="19">
      <c r="A19" s="5" t="inlineStr">
        <is>
          <t>Пилотный вынос</t>
        </is>
      </c>
      <c r="B19" s="5" t="inlineStr">
        <is>
          <t>Нижний Новгород</t>
        </is>
      </c>
      <c r="C19" s="5" t="inlineStr">
        <is>
          <t>ДОПУЩЕНИЕ. Воронеж выведен во второй этап и пилотом быть не может. Ростов к этому моменту уже узел — он вошёл в кластер при переносе центра. Из оставшихся Нижний Новгород крупнее (164) и единственный со станцией на консолидацию (ССЗ), то есть отрабатывает процедуру целиком.</t>
        </is>
      </c>
    </row>
    <row r="20">
      <c r="A20" s="5" t="inlineStr">
        <is>
          <t>Трудозатраты всего, ч-д</t>
        </is>
      </c>
      <c r="B20" s="5" t="n">
        <v>98</v>
      </c>
      <c r="C20" s="5" t="inlineStr">
        <is>
          <t>Сумма по задачам, см. лист плана</t>
        </is>
      </c>
    </row>
    <row r="21">
      <c r="A21" s="5" t="inlineStr">
        <is>
          <t xml:space="preserve">  в том числе инженер кластера</t>
        </is>
      </c>
      <c r="B21" s="5" t="n">
        <v>68</v>
      </c>
      <c r="C21" s="5" t="inlineStr">
        <is>
          <t>Задачи 1–7 и 10. Помещается в 15 недель × 5 дней = 75 ч-д одного человека.</t>
        </is>
      </c>
    </row>
    <row r="22">
      <c r="A22" s="5" t="inlineStr">
        <is>
          <t xml:space="preserve">  в том числе второй исполнитель</t>
        </is>
      </c>
      <c r="B22" s="5" t="n">
        <v>30</v>
      </c>
      <c r="C22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23">
      <c r="A23" s="5" t="inlineStr">
        <is>
          <t>Внутренняя ставка, ₽/ч-д</t>
        </is>
      </c>
      <c r="B23" s="5" t="n">
        <v>11515</v>
      </c>
      <c r="C23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24">
      <c r="A24" s="5" t="inlineStr">
        <is>
          <t>Плановая себестоимость внутренних затрат, ₽ без НДС</t>
        </is>
      </c>
      <c r="B24" s="7">
        <f>B20*B23</f>
        <v>1128470</v>
      </c>
      <c r="C24" s="5" t="inlineStr">
        <is>
          <t>Трудозатраты × ставка, рассчитывается формулой</t>
        </is>
      </c>
    </row>
    <row r="25">
      <c r="A25" s="5" t="inlineStr">
        <is>
          <t>Плановая себестоимость внешних затрат, ₽ без НДС</t>
        </is>
      </c>
      <c r="B25" s="7" t="n">
        <v>0</v>
      </c>
      <c r="C25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6">
      <c r="A26" s="5" t="inlineStr">
        <is>
          <t>Абонентов в периметре</t>
        </is>
      </c>
      <c r="B26" s="5" t="n">
        <v>1255</v>
      </c>
      <c r="C26" s="5" t="inlineStr">
        <is>
          <t>Аудит 12 станций, docs/plan/numbering-plan.csv</t>
        </is>
      </c>
    </row>
    <row r="27">
      <c r="A27" s="5" t="inlineStr">
        <is>
          <t>Станций сейчас</t>
        </is>
      </c>
      <c r="B27" s="5" t="n">
        <v>12</v>
      </c>
      <c r="C27" s="5" t="inlineStr">
        <is>
          <t>Там же</t>
        </is>
      </c>
    </row>
    <row r="28">
      <c r="A28" s="5" t="inlineStr">
        <is>
          <t>Узлов кластера после внедрения</t>
        </is>
      </c>
      <c r="B28" s="5" t="n">
        <v>7</v>
      </c>
      <c r="C28" s="5" t="inlineStr">
        <is>
          <t>ЦОД-1 40 и ЦОД-2 40 (оба живые), Ростов 352, Ставрополь 74, Нижний Новгород 164, Славянск-на-Кубани 140, Воронеж 445. Итого 1255 — сходится с аудитом.</t>
        </is>
      </c>
    </row>
    <row r="29">
      <c r="A29" s="5" t="inlineStr">
        <is>
          <t>Голосов в кворуме</t>
        </is>
      </c>
      <c r="B29" s="5" t="n">
        <v>7</v>
      </c>
      <c r="C29" s="5" t="inlineStr">
        <is>
          <t>Семь узлов — число НЕЧЁТНОЕ, поэтому арбитр не нужен вообще. Кластер переживает потерю трёх узлов и остаётся работоспособным при потере московского ЦОД целиком: у городов остаётся 5 голосов из 7.</t>
        </is>
      </c>
    </row>
    <row r="30">
      <c r="A30" s="5" t="inlineStr">
        <is>
          <t>Арбитр garbd</t>
        </is>
      </c>
      <c r="B30" s="5" t="inlineStr">
        <is>
          <t>не нужен</t>
        </is>
      </c>
      <c r="C30" s="5" t="inlineStr">
        <is>
          <t>В прежней версии плана Ставрополь оставался на ростовском сервере, узлов было шесть, и чётность приходилось добирать арбитром. Собственная АТС в Ставрополе делает число нечётным — та же виртуальная машина вместо бесполезного голоса несёт 74 абонента.</t>
        </is>
      </c>
    </row>
    <row r="31">
      <c r="A31" s="5" t="inlineStr">
        <is>
          <t>Кворум в конце этапа 1</t>
        </is>
      </c>
      <c r="B31" s="5" t="n">
        <v>6</v>
      </c>
      <c r="C31" s="5" t="inlineStr">
        <is>
          <t>ВНИМАНИЕ. Без Воронежа узлов шесть — число чётное. Держится недели 11–12, закрывается вводом Воронежа. Если даже две недели такого состояния неприемлемы, на этот период ставится временный арбитр garbd.</t>
        </is>
      </c>
    </row>
    <row r="32">
      <c r="A32" s="5" t="inlineStr">
        <is>
          <t>Виртуальных машин добавить</t>
        </is>
      </c>
      <c r="B32" s="5" t="n">
        <v>3</v>
      </c>
      <c r="C32" s="5" t="inlineStr">
        <is>
          <t>ЦОД-1, ЦОД-2 и Ставрополь. Все — свои мощности, закупки нет. У четырёх остальных площадок машины уже есть.</t>
        </is>
      </c>
    </row>
    <row r="33">
      <c r="A33" s="5" t="inlineStr">
        <is>
          <t>Размещение ВМ по хостам</t>
        </is>
      </c>
      <c r="B33" s="5" t="inlineStr">
        <is>
          <t>проверить</t>
        </is>
      </c>
      <c r="C33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34">
      <c r="A34" s="5" t="inlineStr">
        <is>
          <t>Снимки ВМ как резервная копия</t>
        </is>
      </c>
      <c r="B34" s="5" t="inlineStr">
        <is>
          <t>нельзя</t>
        </is>
      </c>
      <c r="C34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35">
      <c r="A35" s="5" t="inlineStr">
        <is>
          <t>Оба узла ЦОД — живые</t>
        </is>
      </c>
      <c r="B35" s="5" t="inlineStr">
        <is>
          <t>да</t>
        </is>
      </c>
      <c r="C35" s="5" t="inlineStr">
        <is>
          <t>ЦОД-2 не пассивная копия: он несёт вызовы наравне с ЦОД-1. Резерв, который никогда не берёт нагрузку, не проверен — поэтому 80 московских абонентов делятся по 40 на зал, и каждый зал прописан другому резервным. Отказ зала проверяется реальным трафиком, а не инструкцией.</t>
        </is>
      </c>
    </row>
    <row r="36">
      <c r="A36" s="5" t="inlineStr">
        <is>
          <t>Панель управления FreePBX</t>
        </is>
      </c>
      <c r="B36" s="5" t="inlineStr">
        <is>
          <t>ровно на одном узле</t>
        </is>
      </c>
      <c r="C36" s="5" t="inlineStr">
        <is>
          <t>Живой Asterisk — не второй FreePBX. Две включённые панели пишут в общую базу наперегонки. На ЦОД-2 FreePBX установлен (он клон) и выключен — включается за минуты. Переключение отрабатывается учебно в задаче 8.</t>
        </is>
      </c>
    </row>
    <row r="37">
      <c r="A37" s="5" t="inlineStr">
        <is>
          <t>Неделя 16 — предновогодняя</t>
        </is>
      </c>
      <c r="B37" s="5" t="inlineStr">
        <is>
          <t>21–25 декабря</t>
        </is>
      </c>
      <c r="C37" s="5" t="inlineStr">
        <is>
          <t>ВНИМАНИЕ. На эту неделю приходится завершение перенумерации Воронежа. Люди в отпусках, проверять изменения некому. Либо старт сдвигается на неделю раньше, либо задача 13 переносится на январь.</t>
        </is>
      </c>
    </row>
    <row r="39">
      <c r="A39" s="8" t="inlineStr">
        <is>
          <t>Что нужно заполнить вручную</t>
        </is>
      </c>
    </row>
    <row r="40">
      <c r="A40" s="9" t="inlineStr">
        <is>
          <t>Заказчик</t>
        </is>
      </c>
      <c r="B40" s="10" t="n"/>
      <c r="C40" s="11" t="inlineStr">
        <is>
          <t>Руководитель, от которого идёт задача. Формат «И. Фамилия».</t>
        </is>
      </c>
    </row>
    <row r="41">
      <c r="A41" s="9" t="inlineStr">
        <is>
          <t>Исполнитель</t>
        </is>
      </c>
      <c r="B41" s="10" t="n"/>
      <c r="C41" s="11" t="inlineStr">
        <is>
          <t>Инженер проекта и ответственные за задачи. Формат «И. Фамилия».</t>
        </is>
      </c>
    </row>
    <row r="42">
      <c r="A42" s="9" t="inlineStr">
        <is>
          <t>Номер приказа / внутреннего проекта</t>
        </is>
      </c>
      <c r="B42" s="10" t="n"/>
      <c r="C42" s="11" t="inlineStr">
        <is>
          <t>Присваивается при открытии проекта.</t>
        </is>
      </c>
    </row>
    <row r="43">
      <c r="A43" s="9" t="inlineStr">
        <is>
          <t>Дата протокола совещания</t>
        </is>
      </c>
      <c r="B43" s="10" t="n"/>
      <c r="C43" s="11" t="inlineStr">
        <is>
          <t>Проставить дату документа, из которого взята этапность.</t>
        </is>
      </c>
    </row>
    <row r="44">
      <c r="A44" s="9" t="inlineStr">
        <is>
          <t>Адресный план узлов</t>
        </is>
      </c>
      <c r="B44" s="10" t="n"/>
      <c r="C44" s="11" t="inlineStr">
        <is>
          <t>Проставить IP семи узлов: ЦОД-1, ЦОД-2, Ростов, Ставрополь, Нижний Новгород, Славянск-на-Кубани, Воронеж.</t>
        </is>
      </c>
    </row>
    <row r="46">
      <c r="A46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Z22"/>
  <sheetViews>
    <sheetView zoomScale="80" workbookViewId="0">
      <pane xSplit="10" ySplit="2" topLeftCell="K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699999999999999" customWidth="1" min="1" max="1"/>
    <col width="23.9" customWidth="1" min="2" max="2"/>
    <col width="12" customWidth="1" min="3" max="3"/>
    <col width="22" customWidth="1" min="4" max="4"/>
    <col width="16.6" customWidth="1" min="5" max="5"/>
    <col width="70.7" customWidth="1" min="6" max="6"/>
    <col width="18.3" customWidth="1" min="7" max="7"/>
    <col width="18.4" customWidth="1" min="8" max="8"/>
    <col width="8.9" customWidth="1" min="9" max="9"/>
    <col width="45.4" customWidth="1" min="10" max="10"/>
    <col width="3.9" customWidth="1" min="11" max="11"/>
    <col width="3.9" customWidth="1" min="12" max="12"/>
    <col width="3.9" customWidth="1" min="13" max="13"/>
    <col width="3.9" customWidth="1" min="14" max="14"/>
    <col width="3.9" customWidth="1" min="15" max="15"/>
    <col width="3.9" customWidth="1" min="16" max="16"/>
    <col width="3.9" customWidth="1" min="17" max="17"/>
    <col width="3.9" customWidth="1" min="18" max="18"/>
    <col width="3.9" customWidth="1" min="19" max="19"/>
    <col width="3.9" customWidth="1" min="20" max="20"/>
    <col width="3.9" customWidth="1" min="21" max="21"/>
    <col width="3.9" customWidth="1" min="22" max="22"/>
    <col width="3.9" customWidth="1" min="23" max="23"/>
    <col width="3.9" customWidth="1" min="24" max="24"/>
    <col width="3.9" customWidth="1" min="25" max="25"/>
    <col width="3.9" customWidth="1" min="26" max="26"/>
  </cols>
  <sheetData>
    <row r="1" ht="40" customHeight="1">
      <c r="C1" s="13" t="inlineStr">
        <is>
          <t>Статус проекта</t>
        </is>
      </c>
      <c r="D1" s="13" t="inlineStr">
        <is>
          <t>Срок проекта</t>
        </is>
      </c>
      <c r="E1" s="13" t="inlineStr">
        <is>
          <t>Заказчик</t>
        </is>
      </c>
      <c r="F1" s="13" t="inlineStr">
        <is>
          <t>Проект</t>
        </is>
      </c>
      <c r="G1" s="13" t="inlineStr">
        <is>
          <t>Стадии выполнения работ</t>
        </is>
      </c>
      <c r="H1" s="13" t="inlineStr">
        <is>
          <t>Исполнитель</t>
        </is>
      </c>
      <c r="I1" s="13" t="inlineStr">
        <is>
          <t>ТРЗ, ч/д</t>
        </is>
      </c>
      <c r="J1" s="13" t="inlineStr">
        <is>
          <t>Проблемы/Риски</t>
        </is>
      </c>
      <c r="K1" s="14" t="inlineStr">
        <is>
          <t>Сентябрь 2026</t>
        </is>
      </c>
      <c r="O1" s="14" t="inlineStr">
        <is>
          <t>Октябрь 2026</t>
        </is>
      </c>
      <c r="S1" s="14" t="inlineStr">
        <is>
          <t>Ноябрь 2026</t>
        </is>
      </c>
      <c r="X1" s="14" t="inlineStr">
        <is>
          <t>Декабрь 2026</t>
        </is>
      </c>
    </row>
    <row r="2">
      <c r="K2" s="15" t="inlineStr">
        <is>
          <t>07-13</t>
        </is>
      </c>
      <c r="L2" s="15" t="inlineStr">
        <is>
          <t>14-20</t>
        </is>
      </c>
      <c r="M2" s="15" t="inlineStr">
        <is>
          <t>21-27</t>
        </is>
      </c>
      <c r="N2" s="15" t="inlineStr">
        <is>
          <t>28-04</t>
        </is>
      </c>
      <c r="O2" s="15" t="inlineStr">
        <is>
          <t>05-11</t>
        </is>
      </c>
      <c r="P2" s="15" t="inlineStr">
        <is>
          <t>12-18</t>
        </is>
      </c>
      <c r="Q2" s="15" t="inlineStr">
        <is>
          <t>19-25</t>
        </is>
      </c>
      <c r="R2" s="15" t="inlineStr">
        <is>
          <t>26-01</t>
        </is>
      </c>
      <c r="S2" s="15" t="inlineStr">
        <is>
          <t>02-08</t>
        </is>
      </c>
      <c r="T2" s="15" t="inlineStr">
        <is>
          <t>09-15</t>
        </is>
      </c>
      <c r="U2" s="15" t="inlineStr">
        <is>
          <t>16-22</t>
        </is>
      </c>
      <c r="V2" s="15" t="inlineStr">
        <is>
          <t>23-29</t>
        </is>
      </c>
      <c r="W2" s="15" t="inlineStr">
        <is>
          <t>30-06</t>
        </is>
      </c>
      <c r="X2" s="15" t="inlineStr">
        <is>
          <t>07-13</t>
        </is>
      </c>
      <c r="Y2" s="15" t="inlineStr">
        <is>
          <t>14-20</t>
        </is>
      </c>
      <c r="Z2" s="15" t="inlineStr">
        <is>
          <t>21-27</t>
        </is>
      </c>
    </row>
    <row r="3">
      <c r="C3" s="16" t="inlineStr">
        <is>
          <t>норма</t>
        </is>
      </c>
      <c r="D3" s="16" t="inlineStr">
        <is>
          <t>07.09.26 - 25.12.26</t>
        </is>
      </c>
      <c r="E3" s="17" t="n"/>
      <c r="F3" s="16" t="inlineStr">
        <is>
          <t>Отказоустойчивый кластер телефонии на шесть регионов</t>
        </is>
      </c>
      <c r="G3" s="16" t="inlineStr">
        <is>
          <t>планируется</t>
        </is>
      </c>
      <c r="H3" s="17" t="n"/>
      <c r="I3" s="16">
        <f>SUM(I4:I16)</f>
        <v>98</v>
      </c>
      <c r="J3" s="16" t="inlineStr">
        <is>
          <t>1255 абонентов на 12 станциях сводятся в кластер из 8 узлов. Два узла (Ставрополь, Москва) создаются заново — своей АТС там нет, абоненты обслуживаются из Ростова. Контрольная точка после первой площадки: тиражирование не начинается, пока Воронеж не отработает две недели без замечаний.</t>
        </is>
      </c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>
      <c r="C4" s="19" t="n"/>
      <c r="D4" s="19" t="n"/>
      <c r="E4" s="19" t="n"/>
      <c r="F4" s="19" t="inlineStr">
        <is>
          <t>1. Подготовка: ЦОД, сеть, виртуальные машины, договорённости с операторами</t>
        </is>
      </c>
      <c r="G4" s="19" t="inlineStr">
        <is>
          <t>планируется</t>
        </is>
      </c>
      <c r="H4" s="20" t="n"/>
      <c r="I4" s="19" t="n">
        <v>8</v>
      </c>
      <c r="J4" s="19" t="inlineStr">
        <is>
          <t>Внешних зависимостей у проекта нет: площадки свои, стойки в ЦОД свои, SIP-пользователи заводятся самостоятельно, адреса известны. Единственный оставшийся риск этой задачи — RTT: выше 50 мс до площадки означает, что она не включается в синхронную репликацию и получает автономную АТС с транком. Всё остальное зависит только от собственных сроков.</t>
        </is>
      </c>
      <c r="K4" s="18" t="n"/>
      <c r="L4" s="18" t="n"/>
    </row>
    <row r="5">
      <c r="C5" s="19" t="n"/>
      <c r="D5" s="19" t="n"/>
      <c r="E5" s="19" t="n"/>
      <c r="F5" s="19" t="inlineStr">
        <is>
          <t>2. Смена учётных данных и защита периметра</t>
        </is>
      </c>
      <c r="G5" s="19" t="inlineStr">
        <is>
          <t>планируется</t>
        </is>
      </c>
      <c r="H5" s="20" t="n"/>
      <c r="I5" s="19" t="n">
        <v>10</v>
      </c>
      <c r="J5" s="19" t="inlineStr"/>
      <c r="K5" s="18" t="n"/>
      <c r="L5" s="18" t="n"/>
    </row>
    <row r="6">
      <c r="C6" s="19" t="n"/>
      <c r="D6" s="19" t="n"/>
      <c r="E6" s="19" t="n"/>
      <c r="F6" s="19" t="inlineStr">
        <is>
          <t>3. Испытательный стенд</t>
        </is>
      </c>
      <c r="G6" s="19" t="inlineStr">
        <is>
          <t>планируется</t>
        </is>
      </c>
      <c r="H6" s="20" t="n"/>
      <c r="I6" s="19" t="n">
        <v>6</v>
      </c>
      <c r="J6" s="19" t="inlineStr"/>
      <c r="M6" s="18" t="n"/>
    </row>
    <row r="7">
      <c r="C7" s="19" t="n"/>
      <c r="D7" s="19" t="n"/>
      <c r="E7" s="19" t="n"/>
      <c r="F7" s="19" t="inlineStr">
        <is>
          <t>4. Ростовская АТС — первый узел кластера</t>
        </is>
      </c>
      <c r="G7" s="19" t="inlineStr">
        <is>
          <t>планируется</t>
        </is>
      </c>
      <c r="H7" s="20" t="n"/>
      <c r="I7" s="19" t="n">
        <v>4</v>
      </c>
      <c r="J7" s="19" t="inlineStr">
        <is>
          <t>Требуется окно на перезапуск базы: новые вызовы не устанавливаются около минуты.</t>
        </is>
      </c>
      <c r="N7" s="18" t="n"/>
    </row>
    <row r="8">
      <c r="C8" s="19" t="n"/>
      <c r="D8" s="19" t="n"/>
      <c r="E8" s="19" t="n"/>
      <c r="F8" s="19" t="inlineStr">
        <is>
          <t>5. Центр в московском ЦОД: два живых узла в разных залах</t>
        </is>
      </c>
      <c r="G8" s="19" t="inlineStr">
        <is>
          <t>планируется</t>
        </is>
      </c>
      <c r="H8" s="20" t="n"/>
      <c r="I8" s="19" t="n">
        <v>10</v>
      </c>
      <c r="J8" s="19" t="inlineStr">
        <is>
          <t>Перенос центра из Ростова в ЦОД — самая ответственная операция этапа 1. Передача роли мастера здесь боевая, а не учебная, поэтому процедура обязана быть отработана на стенде (задача 3). Откат: роль возвращается на Ростов, который остаётся полноценным узлом.</t>
        </is>
      </c>
      <c r="O8" s="18" t="n"/>
      <c r="P8" s="18" t="n"/>
    </row>
    <row r="9">
      <c r="C9" s="19" t="n"/>
      <c r="D9" s="19" t="n"/>
      <c r="E9" s="19" t="n"/>
      <c r="F9" s="19" t="inlineStr">
        <is>
          <t>6. Пилотный вынос — Нижний Новгород</t>
        </is>
      </c>
      <c r="G9" s="19" t="inlineStr">
        <is>
          <t>планируется</t>
        </is>
      </c>
      <c r="H9" s="20" t="n"/>
      <c r="I9" s="19" t="n">
        <v>10</v>
      </c>
      <c r="J9" s="19" t="inlineStr">
        <is>
          <t>Контрольная точка этапа 1. Пилот — Нижний Новгород: Воронеж по решению совещания вынесен во второй этап и пилотом быть не может, а Ростов к этому моменту уже узел.</t>
        </is>
      </c>
      <c r="Q9" s="18" t="n"/>
      <c r="R9" s="18" t="n"/>
    </row>
    <row r="10">
      <c r="C10" s="19" t="n"/>
      <c r="D10" s="19" t="n"/>
      <c r="E10" s="19" t="n"/>
      <c r="F10" s="19" t="inlineStr">
        <is>
          <t>7. Учебное переключение управления между залами ЦОД</t>
        </is>
      </c>
      <c r="G10" s="19" t="inlineStr">
        <is>
          <t>планируется</t>
        </is>
      </c>
      <c r="H10" s="20" t="n"/>
      <c r="I10" s="19" t="n">
        <v>3</v>
      </c>
      <c r="J10" s="19" t="inlineStr">
        <is>
          <t>Панель FreePBX обязана быть включена РОВНО на одном узле: две активные панели пишут в общую базу наперегонки. Вызовы это не затрагивает — их несут оба зала постоянно.</t>
        </is>
      </c>
      <c r="S10" s="18" t="n"/>
    </row>
    <row r="11">
      <c r="C11" s="19" t="n"/>
      <c r="D11" s="19" t="n"/>
      <c r="E11" s="19" t="n"/>
      <c r="F11" s="19" t="inlineStr">
        <is>
          <t>8. Выносы Славянск-на-Кубани и Ставрополь</t>
        </is>
      </c>
      <c r="G11" s="19" t="inlineStr">
        <is>
          <t>планируется</t>
        </is>
      </c>
      <c r="H11" s="20" t="n"/>
      <c r="I11" s="19" t="n">
        <v>9</v>
      </c>
      <c r="J11" s="19" t="inlineStr">
        <is>
          <t>На неделях 11–12 узлов шесть — число чётное: кластер переживает потерю только двух узлов, а при разрыве сети пополам большинства нет ни у одной половины. Окно короткое и закрывается вводом Воронежа. Если даже две недели такого состояния неприемлемы, на этот период ставится временный арбитр garbd.</t>
        </is>
      </c>
      <c r="T11" s="18" t="n"/>
      <c r="U11" s="18" t="n"/>
    </row>
    <row r="12">
      <c r="C12" s="19" t="n"/>
      <c r="D12" s="19" t="n"/>
      <c r="E12" s="19" t="n"/>
      <c r="F12" s="19" t="inlineStr">
        <is>
          <t>9. Консолидация мелких АТС этапа 1</t>
        </is>
      </c>
      <c r="G12" s="19" t="inlineStr">
        <is>
          <t>планируется</t>
        </is>
      </c>
      <c r="H12" s="20" t="n"/>
      <c r="I12" s="19" t="n">
        <v>6</v>
      </c>
      <c r="J12" s="19" t="inlineStr"/>
      <c r="R12" s="18" t="n"/>
      <c r="S12" s="18" t="n"/>
      <c r="T12" s="18" t="n"/>
      <c r="U12" s="18" t="n"/>
    </row>
    <row r="13">
      <c r="C13" s="19" t="n"/>
      <c r="D13" s="19" t="n"/>
      <c r="E13" s="19" t="n"/>
      <c r="F13" s="19" t="inlineStr">
        <is>
          <t>10. Перевод абонентов этапа 1 на единый план нумерации</t>
        </is>
      </c>
      <c r="G13" s="19" t="inlineStr">
        <is>
          <t>планируется</t>
        </is>
      </c>
      <c r="H13" s="20" t="n"/>
      <c r="I13" s="19" t="n">
        <v>12</v>
      </c>
      <c r="J13" s="19" t="inlineStr">
        <is>
          <t>Организационный поток, идёт силами второго исполнителя. Переходный период не менее месяца, старый номер остаётся рабочим.</t>
        </is>
      </c>
      <c r="P13" s="18" t="n"/>
      <c r="Q13" s="18" t="n"/>
      <c r="R13" s="18" t="n"/>
      <c r="S13" s="18" t="n"/>
      <c r="T13" s="18" t="n"/>
      <c r="U13" s="18" t="n"/>
      <c r="V13" s="18" t="n"/>
    </row>
    <row r="14">
      <c r="C14" s="19" t="n"/>
      <c r="D14" s="19" t="n"/>
      <c r="E14" s="19" t="n"/>
      <c r="F14" s="19" t="inlineStr">
        <is>
          <t>11. Воронежский вынос</t>
        </is>
      </c>
      <c r="G14" s="19" t="inlineStr">
        <is>
          <t>планируется</t>
        </is>
      </c>
      <c r="H14" s="20" t="n"/>
      <c r="I14" s="19" t="n">
        <v>8</v>
      </c>
      <c r="J14" s="19" t="inlineStr">
        <is>
          <t>445 абонентов — треть периметра — переводятся в конце графика, запаса после них не остаётся. Зато с вводом Воронежа узлов становится семь: число нечётное, арбитр в итоговой схеме не нужен.</t>
        </is>
      </c>
      <c r="W14" s="18" t="n"/>
      <c r="X14" s="18" t="n"/>
    </row>
    <row r="15">
      <c r="C15" s="19" t="n"/>
      <c r="D15" s="19" t="n"/>
      <c r="E15" s="19" t="n"/>
      <c r="F15" s="19" t="inlineStr">
        <is>
          <t>12. Консолидация воронежских АТС</t>
        </is>
      </c>
      <c r="G15" s="19" t="inlineStr">
        <is>
          <t>планируется</t>
        </is>
      </c>
      <c r="H15" s="20" t="n"/>
      <c r="I15" s="19" t="n">
        <v>6</v>
      </c>
      <c r="J15" s="19" t="inlineStr"/>
      <c r="X15" s="18" t="n"/>
      <c r="Y15" s="18" t="n"/>
    </row>
    <row r="16">
      <c r="C16" s="19" t="n"/>
      <c r="D16" s="19" t="n"/>
      <c r="E16" s="19" t="n"/>
      <c r="F16" s="19" t="inlineStr">
        <is>
          <t>13. Перевод воронежских абонентов на единый план нумерации</t>
        </is>
      </c>
      <c r="G16" s="19" t="inlineStr">
        <is>
          <t>планируется</t>
        </is>
      </c>
      <c r="H16" s="20" t="n"/>
      <c r="I16" s="19" t="n">
        <v>6</v>
      </c>
      <c r="J16" s="19" t="inlineStr">
        <is>
          <t>Неделя 16 приходится на предновогоднюю — 21–25 декабря. Перевод номеров в эту неделю нежелателен: люди в отпусках, изменения некому проверять. Либо старт сдвигается на неделю раньше, либо задача 13 переносится на январь.</t>
        </is>
      </c>
      <c r="X16" s="18" t="n"/>
      <c r="Y16" s="18" t="n"/>
      <c r="Z16" s="18" t="n"/>
    </row>
    <row r="19">
      <c r="F19" s="8" t="inlineStr">
        <is>
          <t>Статусы открытых/закрытых проектов:</t>
        </is>
      </c>
    </row>
    <row r="20">
      <c r="F20" s="21" t="inlineStr">
        <is>
          <t>норма</t>
        </is>
      </c>
      <c r="G20" s="11" t="inlineStr">
        <is>
          <t>отклонений по плановым срокам основных вех/трудозатратам нет</t>
        </is>
      </c>
    </row>
    <row r="21">
      <c r="F21" s="22" t="inlineStr">
        <is>
          <t>внимание</t>
        </is>
      </c>
      <c r="G21" s="11" t="inlineStr">
        <is>
          <t>есть вероятность отклонений по плановым срокам основных вех/трудозатратам, которые могут повлиять на изменение плановых сроков/трудозатрат проекта</t>
        </is>
      </c>
    </row>
    <row r="22">
      <c r="F22" s="23" t="inlineStr">
        <is>
          <t>тревога</t>
        </is>
      </c>
      <c r="G22" s="11" t="inlineStr">
        <is>
          <t>есть отклонения по плановым срокам основных вех/трудозатратам</t>
        </is>
      </c>
    </row>
  </sheetData>
  <mergeCells count="7">
    <mergeCell ref="G22:J22"/>
    <mergeCell ref="O1:R1"/>
    <mergeCell ref="G20:J20"/>
    <mergeCell ref="S1:W1"/>
    <mergeCell ref="G21:J21"/>
    <mergeCell ref="K1:N1"/>
    <mergeCell ref="X1:Z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2026-08-21T06:13:54Z</dcterms:created>
  <dcterms:modified xsi:type="dcterms:W3CDTF">2026-08-21T06:13:54Z</dcterms:modified>
</cp:coreProperties>
</file>