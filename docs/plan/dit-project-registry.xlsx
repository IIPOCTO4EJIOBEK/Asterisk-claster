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ЦОД, на обеих площадках живые узлы; остальные узлы по городам.</t>
        </is>
      </c>
    </row>
    <row r="6">
      <c r="A6" s="5" t="inlineStr">
        <is>
          <t>Архитектура</t>
        </is>
      </c>
      <c r="B6" s="5" t="inlineStr">
        <is>
          <t>центр в ЦОД + выносы</t>
        </is>
      </c>
      <c r="C6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7">
      <c r="A7" s="5" t="inlineStr">
        <is>
          <t>Стойки в ЦОД</t>
        </is>
      </c>
      <c r="B7" s="5" t="inlineStr">
        <is>
          <t>наши, залы независимы</t>
        </is>
      </c>
      <c r="C7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8">
      <c r="A8" s="5" t="inlineStr">
        <is>
          <t>Ждать никого не нужно</t>
        </is>
      </c>
      <c r="B8" s="5" t="inlineStr">
        <is>
          <t>да</t>
        </is>
      </c>
      <c r="C8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16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46381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центр в ЦОД + все выносы, кроме Воронежа</t>
        </is>
      </c>
      <c r="B12" s="4" t="inlineStr">
        <is>
          <t>недели 1–12, 810 абонентов</t>
        </is>
      </c>
      <c r="C12" s="4" t="inlineStr">
        <is>
          <t>ЦОД-1 40 и ЦОД-2 40, Ростов 352, Ставрополь 74, Нижний Новгород 164, Славянск-на-Кубани 140.</t>
        </is>
      </c>
    </row>
    <row r="13">
      <c r="A13" s="4" t="inlineStr">
        <is>
          <t>ЭТАП 2 — Воронеж</t>
        </is>
      </c>
      <c r="B13" s="4" t="inlineStr">
        <is>
          <t>недели 13–16,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Ставрополь получает свою АТС</t>
        </is>
      </c>
      <c r="B14" s="5" t="inlineStr">
        <is>
          <t>да, задача 8.2</t>
        </is>
      </c>
      <c r="C14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Ставрополь</t>
        </is>
      </c>
      <c r="C16" s="5" t="inlineStr">
        <is>
          <t>Порядок ввода выносов: Ставрополь (пилот), затем Нижний Новгород, затем Славянск-на-Кубани. ВАЖНО ПОНИМАТЬ: у Ставрополя нет своей станции — его 74 абонента уже в общей базе, поэтому пилот проверяет кластер, каналы и провижининг, но НЕ проверяет перенос действующей АТС с её гашением. Эта часть процедуры впервые отрабатывается на Нижнем Новгороде (задача 8.1) — её стоит пройти с тем же вниманием, что и пилот.</t>
        </is>
      </c>
    </row>
    <row r="17">
      <c r="A17" s="5" t="inlineStr">
        <is>
          <t>Оповещение техподдержки</t>
        </is>
      </c>
      <c r="B17" s="5" t="inlineStr">
        <is>
          <t>задача 3</t>
        </is>
      </c>
      <c r="C17" s="5" t="inlineStr">
        <is>
          <t>До начала работ согласован порядок: кто и по какому каналу поднимается по тревоге, за какое время и что считается инцидентом. Порядок роздан всем участникам работ — иначе в первую же нештатную ситуацию искать будет некого.</t>
        </is>
      </c>
    </row>
    <row r="18">
      <c r="A18" s="4" t="inlineStr">
        <is>
          <t>КОМАНДА ПРОЕКТА</t>
        </is>
      </c>
      <c r="B18" s="4" t="inlineStr">
        <is>
          <t>четыре человека</t>
        </is>
      </c>
      <c r="C18" s="4" t="inlineStr"/>
    </row>
    <row r="19">
      <c r="A19" s="5" t="inlineStr">
        <is>
          <t xml:space="preserve">  Руководитель</t>
        </is>
      </c>
      <c r="B19" s="5" t="inlineStr">
        <is>
          <t>Савенко В.</t>
        </is>
      </c>
      <c r="C19" s="5" t="inlineStr">
        <is>
          <t>Главный по проекту, указан заказчиком во всех строках плана.</t>
        </is>
      </c>
    </row>
    <row r="20">
      <c r="A20" s="5" t="inlineStr">
        <is>
          <t xml:space="preserve">  Основной исполнитель</t>
        </is>
      </c>
      <c r="B20" s="5" t="inlineStr">
        <is>
          <t>Цеховской В.</t>
        </is>
      </c>
      <c r="C20" s="5" t="inlineStr">
        <is>
          <t>Инженер кластера. Задачи 1–9 и 12 — вся работа с кластером, переносом центра и вводом выносов.</t>
        </is>
      </c>
    </row>
    <row r="21">
      <c r="A21" s="5" t="inlineStr">
        <is>
          <t xml:space="preserve">  Помощник</t>
        </is>
      </c>
      <c r="B21" s="5" t="inlineStr">
        <is>
          <t>Кириевская Е.</t>
        </is>
      </c>
      <c r="C21" s="5" t="inlineStr">
        <is>
          <t>Задачи 10, 11, 13, 14 — консолидация мелких АТС и перенумерация. Частичная занятость, идут параллельно основным работам.</t>
        </is>
      </c>
    </row>
    <row r="22">
      <c r="A22" s="5" t="inlineStr">
        <is>
          <t xml:space="preserve">  Развёртывание и адресация</t>
        </is>
      </c>
      <c r="B22" s="5" t="inlineStr">
        <is>
          <t>Дулепов А.</t>
        </is>
      </c>
      <c r="C22" s="5" t="inlineStr">
        <is>
          <t>Создание клонов, установка и присвоение IP-адресов на площадках. Проставлен исполнителем в соответствующих подзадачах.</t>
        </is>
      </c>
    </row>
    <row r="23">
      <c r="A23" s="5" t="inlineStr">
        <is>
          <t>Трудозатраты всего, ч-д</t>
        </is>
      </c>
      <c r="B23" s="5" t="n">
        <v>100</v>
      </c>
      <c r="C23" s="5" t="inlineStr">
        <is>
          <t>Сумма по задачам, см. лист плана</t>
        </is>
      </c>
    </row>
    <row r="24">
      <c r="A24" s="5" t="inlineStr">
        <is>
          <t xml:space="preserve">  в том числе инженер кластера</t>
        </is>
      </c>
      <c r="B24" s="5" t="n">
        <v>70</v>
      </c>
      <c r="C24" s="5" t="inlineStr">
        <is>
          <t>Задачи 1–7 и 10. Помещается в 15 недель × 5 дней = 75 ч-д одного человека.</t>
        </is>
      </c>
    </row>
    <row r="25">
      <c r="A25" s="5" t="inlineStr">
        <is>
          <t xml:space="preserve">  в том числе второй исполнитель</t>
        </is>
      </c>
      <c r="B25" s="5" t="n">
        <v>30</v>
      </c>
      <c r="C25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6">
      <c r="A26" s="5" t="inlineStr">
        <is>
          <t>Внутренняя ставка, ₽/ч-д</t>
        </is>
      </c>
      <c r="B26" s="5" t="n">
        <v>11515</v>
      </c>
      <c r="C26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7">
      <c r="A27" s="5" t="inlineStr">
        <is>
          <t>Плановая себестоимость внутренних затрат, ₽ без НДС</t>
        </is>
      </c>
      <c r="B27" s="7">
        <f>B23*B26</f>
        <v>1151500</v>
      </c>
      <c r="C27" s="5" t="inlineStr">
        <is>
          <t>Трудозатраты × ставка, рассчитывается формулой</t>
        </is>
      </c>
    </row>
    <row r="28">
      <c r="A28" s="5" t="inlineStr">
        <is>
          <t>Плановая себестоимость внешних затрат, ₽ без НДС</t>
        </is>
      </c>
      <c r="B28" s="7" t="n">
        <v>0</v>
      </c>
      <c r="C28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9">
      <c r="A29" s="5" t="inlineStr">
        <is>
          <t>Абонентов в периметре</t>
        </is>
      </c>
      <c r="B29" s="5" t="n">
        <v>1255</v>
      </c>
      <c r="C29" s="5" t="inlineStr">
        <is>
          <t>Аудит 12 станций, docs/plan/numbering-plan.csv</t>
        </is>
      </c>
    </row>
    <row r="30">
      <c r="A30" s="5" t="inlineStr">
        <is>
          <t>Станций сейчас</t>
        </is>
      </c>
      <c r="B30" s="5" t="n">
        <v>12</v>
      </c>
      <c r="C30" s="5" t="inlineStr">
        <is>
          <t>Там же</t>
        </is>
      </c>
    </row>
    <row r="31">
      <c r="A31" s="5" t="inlineStr">
        <is>
          <t>Узлов кластера после внедрения</t>
        </is>
      </c>
      <c r="B31" s="5" t="n">
        <v>7</v>
      </c>
      <c r="C31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32">
      <c r="A32" s="5" t="inlineStr">
        <is>
          <t>Голосов в кворуме</t>
        </is>
      </c>
      <c r="B32" s="5" t="n">
        <v>7</v>
      </c>
      <c r="C32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33">
      <c r="A33" s="5" t="inlineStr">
        <is>
          <t>Арбитр garbd</t>
        </is>
      </c>
      <c r="B33" s="5" t="inlineStr">
        <is>
          <t>не нужен</t>
        </is>
      </c>
      <c r="C33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4">
      <c r="A34" s="5" t="inlineStr">
        <is>
          <t>Кворум в конце этапа 1</t>
        </is>
      </c>
      <c r="B34" s="5" t="n">
        <v>6</v>
      </c>
      <c r="C34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5">
      <c r="A35" s="5" t="inlineStr">
        <is>
          <t>Виртуальных машин добавить</t>
        </is>
      </c>
      <c r="B35" s="5" t="n">
        <v>3</v>
      </c>
      <c r="C35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6">
      <c r="A36" s="5" t="inlineStr">
        <is>
          <t>Размещение ВМ по хостам</t>
        </is>
      </c>
      <c r="B36" s="5" t="inlineStr">
        <is>
          <t>проверить</t>
        </is>
      </c>
      <c r="C36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7">
      <c r="A37" s="5" t="inlineStr">
        <is>
          <t>Снимки ВМ как резервная копия</t>
        </is>
      </c>
      <c r="B37" s="5" t="inlineStr">
        <is>
          <t>нельзя</t>
        </is>
      </c>
      <c r="C37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8">
      <c r="A38" s="5" t="inlineStr">
        <is>
          <t>Оба узла ЦОД — живые</t>
        </is>
      </c>
      <c r="B38" s="5" t="inlineStr">
        <is>
          <t>да</t>
        </is>
      </c>
      <c r="C38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9">
      <c r="A39" s="5" t="inlineStr">
        <is>
          <t>Панель управления FreePBX</t>
        </is>
      </c>
      <c r="B39" s="5" t="inlineStr">
        <is>
          <t>ровно на одном узле</t>
        </is>
      </c>
      <c r="C39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40">
      <c r="A40" s="5" t="inlineStr">
        <is>
          <t>Неделя 16 — предновогодняя</t>
        </is>
      </c>
      <c r="B40" s="5" t="inlineStr">
        <is>
          <t>21–25 декабря</t>
        </is>
      </c>
      <c r="C40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42">
      <c r="A42" s="8" t="inlineStr">
        <is>
          <t>Что нужно заполнить вручную</t>
        </is>
      </c>
    </row>
    <row r="43">
      <c r="A43" s="9" t="inlineStr">
        <is>
          <t>Номер приказа / внутреннего проекта</t>
        </is>
      </c>
      <c r="B43" s="10" t="n"/>
      <c r="C43" s="11" t="inlineStr">
        <is>
          <t>Присваивается при открытии проекта.</t>
        </is>
      </c>
    </row>
    <row r="44">
      <c r="A44" s="9" t="inlineStr">
        <is>
          <t>Дата протокола совещания</t>
        </is>
      </c>
      <c r="B44" s="10" t="n"/>
      <c r="C44" s="11" t="inlineStr">
        <is>
          <t>Проставить дату документа, из которого взята этапность.</t>
        </is>
      </c>
    </row>
    <row r="45">
      <c r="A45" s="9" t="inlineStr">
        <is>
          <t>Адресный план узлов</t>
        </is>
      </c>
      <c r="B45" s="10" t="n"/>
      <c r="C45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7">
      <c r="A47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3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Централизованная телефония на Asterisk: центр в ЦОД, семь узлов</t>
        </is>
      </c>
      <c r="G3" s="16" t="inlineStr">
        <is>
          <t>планируется</t>
        </is>
      </c>
      <c r="H3" s="17" t="n"/>
      <c r="I3" s="16">
        <f>SUM(I4:I17)</f>
        <v>100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Единственная точка принятия решения во всём плане — RTT: выше 50 мс до площадки означает, что мы не включаем её в синхронную репликацию и ставим автономную АТС с транком до ЦОД. Всё остальное в этой задаче делаем сами и в своём темпе: ждать нам никого не нужно.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Порядок оповещения техподдержки при отклонениях</t>
        </is>
      </c>
      <c r="G6" s="19" t="inlineStr">
        <is>
          <t>планируется</t>
        </is>
      </c>
      <c r="H6" s="20" t="n"/>
      <c r="I6" s="19" t="n">
        <v>2</v>
      </c>
      <c r="J6" s="19" t="inlineStr"/>
      <c r="L6" s="18" t="n"/>
    </row>
    <row r="7">
      <c r="C7" s="19" t="n"/>
      <c r="D7" s="19" t="n"/>
      <c r="E7" s="19" t="n"/>
      <c r="F7" s="19" t="inlineStr">
        <is>
          <t>4. Испытательный стенд</t>
        </is>
      </c>
      <c r="G7" s="19" t="inlineStr">
        <is>
          <t>планируется</t>
        </is>
      </c>
      <c r="H7" s="20" t="n"/>
      <c r="I7" s="19" t="n">
        <v>6</v>
      </c>
      <c r="J7" s="19" t="inlineStr">
        <is>
          <t>Требуется окно на перезапуск базы: новые вызовы не устанавливаются около минуты.</t>
        </is>
      </c>
      <c r="M7" s="18" t="n"/>
    </row>
    <row r="8">
      <c r="C8" s="19" t="n"/>
      <c r="D8" s="19" t="n"/>
      <c r="E8" s="19" t="n"/>
      <c r="F8" s="19" t="inlineStr">
        <is>
          <t>5. Ростовская АТС — первый узел кластера</t>
        </is>
      </c>
      <c r="G8" s="19" t="inlineStr">
        <is>
          <t>планируется</t>
        </is>
      </c>
      <c r="H8" s="20" t="n"/>
      <c r="I8" s="19" t="n">
        <v>4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N8" s="18" t="n"/>
    </row>
    <row r="9">
      <c r="C9" s="19" t="n"/>
      <c r="D9" s="19" t="n"/>
      <c r="E9" s="19" t="n"/>
      <c r="F9" s="19" t="inlineStr">
        <is>
          <t>6. Центр в московском ЦОД: два живых узла в разных залах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может, а Ростов к этому моменту уже узел.</t>
        </is>
      </c>
      <c r="O9" s="18" t="n"/>
      <c r="P9" s="18" t="n"/>
    </row>
    <row r="10">
      <c r="C10" s="19" t="n"/>
      <c r="D10" s="19" t="n"/>
      <c r="E10" s="19" t="n"/>
      <c r="F10" s="19" t="inlineStr">
        <is>
          <t>7. Пилотный вынос — Ставрополь</t>
        </is>
      </c>
      <c r="G10" s="19" t="inlineStr">
        <is>
          <t>планируется</t>
        </is>
      </c>
      <c r="H10" s="20" t="n"/>
      <c r="I10" s="19" t="n">
        <v>10</v>
      </c>
      <c r="J10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</t>
        </is>
      </c>
      <c r="Q10" s="18" t="n"/>
      <c r="R10" s="18" t="n"/>
    </row>
    <row r="11">
      <c r="C11" s="19" t="n"/>
      <c r="D11" s="19" t="n"/>
      <c r="E11" s="19" t="n"/>
      <c r="F11" s="19" t="inlineStr">
        <is>
          <t>8. Учебное переключение управления между залами ЦОД</t>
        </is>
      </c>
      <c r="G11" s="19" t="inlineStr">
        <is>
          <t>планируется</t>
        </is>
      </c>
      <c r="H11" s="20" t="n"/>
      <c r="I11" s="19" t="n">
        <v>3</v>
      </c>
      <c r="J11" s="19" t="inlineStr">
        <is>
          <t>На неделях 11–12 узлов шесть — число чётное: кластер переживает потерю только двух узлов, а при разрыве сети пополам большинства нет ни у одной половины. Окно короткое и закрывается вводом Воронежа. Если даже две недели такого состояния неприемлемы, на этот период ставится временный арбитр garbd.</t>
        </is>
      </c>
      <c r="S11" s="18" t="n"/>
    </row>
    <row r="12">
      <c r="C12" s="19" t="n"/>
      <c r="D12" s="19" t="n"/>
      <c r="E12" s="19" t="n"/>
      <c r="F12" s="19" t="inlineStr">
        <is>
          <t>9. Выносы Нижний Новгород и Славянск-на-Кубани</t>
        </is>
      </c>
      <c r="G12" s="19" t="inlineStr">
        <is>
          <t>планируется</t>
        </is>
      </c>
      <c r="H12" s="20" t="n"/>
      <c r="I12" s="19" t="n">
        <v>9</v>
      </c>
      <c r="J12" s="19" t="inlineStr"/>
      <c r="T12" s="18" t="n"/>
      <c r="U12" s="18" t="n"/>
    </row>
    <row r="13">
      <c r="C13" s="19" t="n"/>
      <c r="D13" s="19" t="n"/>
      <c r="E13" s="19" t="n"/>
      <c r="F13" s="19" t="inlineStr">
        <is>
          <t>10. Консолидация мелких АТС этапа 1</t>
        </is>
      </c>
      <c r="G13" s="19" t="inlineStr">
        <is>
          <t>планируется</t>
        </is>
      </c>
      <c r="H13" s="20" t="n"/>
      <c r="I13" s="19" t="n">
        <v>6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R13" s="18" t="n"/>
      <c r="S13" s="18" t="n"/>
      <c r="T13" s="18" t="n"/>
      <c r="U13" s="18" t="n"/>
    </row>
    <row r="14">
      <c r="C14" s="19" t="n"/>
      <c r="D14" s="19" t="n"/>
      <c r="E14" s="19" t="n"/>
      <c r="F14" s="19" t="inlineStr">
        <is>
          <t>11. Перевод абонентов этапа 1 на единый план нумерации</t>
        </is>
      </c>
      <c r="G14" s="19" t="inlineStr">
        <is>
          <t>планируется</t>
        </is>
      </c>
      <c r="H14" s="20" t="n"/>
      <c r="I14" s="19" t="n">
        <v>12</v>
      </c>
      <c r="J14" s="19" t="inlineStr">
        <is>
          <t>445 абонентов — треть периметра — переводятся в конце графика, запаса после них не остаётся. Зато с вводом Воронежа узлов становится семь: число нечётное, арбитр в итоговой схеме не нужен.</t>
        </is>
      </c>
      <c r="P14" s="18" t="n"/>
      <c r="Q14" s="18" t="n"/>
      <c r="R14" s="18" t="n"/>
      <c r="S14" s="18" t="n"/>
      <c r="T14" s="18" t="n"/>
      <c r="U14" s="18" t="n"/>
      <c r="V14" s="18" t="n"/>
    </row>
    <row r="15">
      <c r="C15" s="19" t="n"/>
      <c r="D15" s="19" t="n"/>
      <c r="E15" s="19" t="n"/>
      <c r="F15" s="19" t="inlineStr">
        <is>
          <t>12. Воронежский вынос</t>
        </is>
      </c>
      <c r="G15" s="19" t="inlineStr">
        <is>
          <t>планируется</t>
        </is>
      </c>
      <c r="H15" s="20" t="n"/>
      <c r="I15" s="19" t="n">
        <v>8</v>
      </c>
      <c r="J15" s="19" t="inlineStr"/>
      <c r="W15" s="18" t="n"/>
      <c r="X15" s="18" t="n"/>
    </row>
    <row r="16">
      <c r="C16" s="19" t="n"/>
      <c r="D16" s="19" t="n"/>
      <c r="E16" s="19" t="n"/>
      <c r="F16" s="19" t="inlineStr">
        <is>
          <t>13. Консолидация воронежских АТС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</row>
    <row r="17">
      <c r="C17" s="19" t="n"/>
      <c r="D17" s="19" t="n"/>
      <c r="E17" s="19" t="n"/>
      <c r="F17" s="19" t="inlineStr">
        <is>
          <t>14. Перевод воронежских абонентов на единый план нумерации</t>
        </is>
      </c>
      <c r="G17" s="19" t="inlineStr">
        <is>
          <t>планируется</t>
        </is>
      </c>
      <c r="H17" s="20" t="n"/>
      <c r="I17" s="19" t="n">
        <v>6</v>
      </c>
      <c r="J17" s="19" t="inlineStr"/>
      <c r="X17" s="18" t="n"/>
      <c r="Y17" s="18" t="n"/>
      <c r="Z17" s="18" t="n"/>
    </row>
    <row r="20">
      <c r="F20" s="8" t="inlineStr">
        <is>
          <t>Статусы открытых/закрытых проектов:</t>
        </is>
      </c>
    </row>
    <row r="21">
      <c r="F21" s="21" t="inlineStr">
        <is>
          <t>норма</t>
        </is>
      </c>
      <c r="G21" s="11" t="inlineStr">
        <is>
          <t>отклонений по плановым срокам основных вех/трудозатратам нет</t>
        </is>
      </c>
    </row>
    <row r="22">
      <c r="F22" s="22" t="inlineStr">
        <is>
          <t>внимание</t>
        </is>
      </c>
      <c r="G22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3">
      <c r="F23" s="23" t="inlineStr">
        <is>
          <t>тревога</t>
        </is>
      </c>
      <c r="G23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3:J23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2026-08-21T11:54:09Z</dcterms:created>
  <dcterms:modified xsi:type="dcterms:W3CDTF">2026-08-21T11:54:09Z</dcterms:modified>
</cp:coreProperties>
</file>