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араметры и допущения" sheetId="1" state="visible" r:id="rId1"/>
    <sheet name="Приоритет1_открытые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.MM.YYYY"/>
  </numFmts>
  <fonts count="13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sz val="10"/>
    </font>
    <font>
      <name val="Arial"/>
      <b val="1"/>
      <sz val="10"/>
    </font>
    <font>
      <name val="Arial"/>
      <sz val="10"/>
    </font>
    <font>
      <name val="Arial"/>
      <b val="1"/>
      <sz val="11"/>
    </font>
    <font>
      <name val="Arial"/>
      <i val="1"/>
      <sz val="9"/>
    </font>
    <font>
      <name val="Arial"/>
      <b val="1"/>
      <sz val="12"/>
    </font>
    <font>
      <name val="Calibri"/>
      <sz val="9"/>
    </font>
    <font>
      <name val="Arial"/>
      <b val="1"/>
      <sz val="9"/>
    </font>
    <font>
      <name val="Calibri"/>
      <sz val="12"/>
    </font>
    <font>
      <name val="Arial"/>
      <b val="1"/>
      <color rgb="00000000"/>
      <sz val="11"/>
    </font>
    <font>
      <name val="Arial"/>
      <b val="1"/>
      <color rgb="00FFFFFF"/>
      <sz val="11"/>
    </font>
  </fonts>
  <fills count="8">
    <fill>
      <patternFill/>
    </fill>
    <fill>
      <patternFill patternType="gray125"/>
    </fill>
    <fill>
      <patternFill patternType="solid">
        <fgColor rgb="FFD9D9D9"/>
      </patternFill>
    </fill>
    <fill>
      <patternFill patternType="solid">
        <fgColor rgb="FFDDEBF7"/>
      </patternFill>
    </fill>
    <fill>
      <patternFill patternType="solid">
        <fgColor rgb="FFFFFF00"/>
      </patternFill>
    </fill>
    <fill>
      <patternFill patternType="solid">
        <fgColor rgb="FF92D050"/>
      </patternFill>
    </fill>
    <fill>
      <patternFill patternType="solid">
        <fgColor rgb="FFFFFF99"/>
      </patternFill>
    </fill>
    <fill>
      <patternFill patternType="solid">
        <fgColor rgb="FFFF000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165" fontId="4" fillId="0" borderId="1" applyAlignment="1" pivotButton="0" quotePrefix="0" xfId="0">
      <alignment vertical="top" wrapText="1"/>
    </xf>
    <xf numFmtId="3" fontId="4" fillId="0" borderId="1" applyAlignment="1" pivotButton="0" quotePrefix="0" xfId="0">
      <alignment vertical="top" wrapText="1"/>
    </xf>
    <xf numFmtId="0" fontId="5" fillId="0" borderId="0" pivotButton="0" quotePrefix="0" xfId="0"/>
    <xf numFmtId="0" fontId="4" fillId="4" borderId="1" pivotButton="0" quotePrefix="0" xfId="0"/>
    <xf numFmtId="0" fontId="0" fillId="4" borderId="1" pivotButton="0" quotePrefix="0" xfId="0"/>
    <xf numFmtId="0" fontId="4" fillId="0" borderId="0" applyAlignment="1" pivotButton="0" quotePrefix="0" xfId="0">
      <alignment vertical="top" wrapText="1"/>
    </xf>
    <xf numFmtId="0" fontId="6" fillId="0" borderId="0" pivotButton="0" quotePrefix="0" xfId="0"/>
    <xf numFmtId="0" fontId="7" fillId="2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0" fontId="7" fillId="5" borderId="1" applyAlignment="1" pivotButton="0" quotePrefix="0" xfId="0">
      <alignment vertical="top" wrapText="1"/>
    </xf>
    <xf numFmtId="0" fontId="7" fillId="4" borderId="1" applyAlignment="1" pivotButton="0" quotePrefix="0" xfId="0">
      <alignment vertical="top" wrapText="1"/>
    </xf>
    <xf numFmtId="0" fontId="0" fillId="5" borderId="1" pivotButton="0" quotePrefix="0" xfId="0"/>
    <xf numFmtId="0" fontId="10" fillId="0" borderId="1" applyAlignment="1" pivotButton="0" quotePrefix="0" xfId="0">
      <alignment vertical="top" wrapText="1"/>
    </xf>
    <xf numFmtId="0" fontId="10" fillId="4" borderId="1" applyAlignment="1" pivotButton="0" quotePrefix="0" xfId="0">
      <alignment vertical="top" wrapText="1"/>
    </xf>
    <xf numFmtId="0" fontId="11" fillId="5" borderId="1" applyAlignment="1" pivotButton="0" quotePrefix="0" xfId="0">
      <alignment horizontal="center"/>
    </xf>
    <xf numFmtId="0" fontId="11" fillId="6" borderId="1" applyAlignment="1" pivotButton="0" quotePrefix="0" xfId="0">
      <alignment horizontal="center"/>
    </xf>
    <xf numFmtId="0" fontId="12" fillId="7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43"/>
  <sheetViews>
    <sheetView workbookViewId="0">
      <selection activeCell="A1" sqref="A1"/>
    </sheetView>
  </sheetViews>
  <sheetFormatPr baseColWidth="8" defaultRowHeight="15"/>
  <cols>
    <col width="34" customWidth="1" min="1" max="1"/>
    <col width="24" customWidth="1" min="2" max="2"/>
    <col width="96" customWidth="1" min="3" max="3"/>
  </cols>
  <sheetData>
    <row r="1">
      <c r="A1" s="1" t="inlineStr">
        <is>
          <t>Централизованная телефония на Asterisk: центр в московском ЦОД, выносы по городам</t>
        </is>
      </c>
    </row>
    <row r="2">
      <c r="A2" s="2" t="inlineStr">
        <is>
          <t>Параметры расчёта. Все прочие листы считают от этих значений — меняйте здесь, а не в самом плане.</t>
        </is>
      </c>
    </row>
    <row r="4" ht="18" customHeight="1">
      <c r="A4" s="3" t="inlineStr">
        <is>
          <t>Показатель</t>
        </is>
      </c>
      <c r="B4" s="3" t="inlineStr">
        <is>
          <t>Значение</t>
        </is>
      </c>
      <c r="C4" s="3" t="inlineStr">
        <is>
          <t>Откуда взято</t>
        </is>
      </c>
    </row>
    <row r="5">
      <c r="A5" s="4" t="inlineStr">
        <is>
          <t>ОСНОВАНИЕ</t>
        </is>
      </c>
      <c r="B5" s="4" t="inlineStr">
        <is>
          <t>протокол совещания, п. 3</t>
        </is>
      </c>
      <c r="C5" s="4" t="inlineStr">
        <is>
          <t>«Обсудили верхнеуровневую архитектуру, решили строить централизованную на Asterisk с выносами в кластерах. По плану первый этап все за исключением Воронежа, далее Воронеж.» Уточнение: центр размещается в московском ЦОД — мастер на первой площадке, копия на второй; остальные узлы по городам.</t>
        </is>
      </c>
    </row>
    <row r="6">
      <c r="A6" s="5" t="inlineStr">
        <is>
          <t>Скорректированная архитектура</t>
        </is>
      </c>
      <c r="B6" s="5" t="inlineStr">
        <is>
          <t>Савенко В. — до 05.08, выполнено</t>
        </is>
      </c>
      <c r="C6" s="5" t="inlineStr">
        <is>
          <t>Из протокола, п. 3.</t>
        </is>
      </c>
    </row>
    <row r="7">
      <c r="A7" s="5" t="inlineStr">
        <is>
          <t>План работ</t>
        </is>
      </c>
      <c r="B7" s="5" t="inlineStr">
        <is>
          <t>Цеховской В. — срок 20.08</t>
        </is>
      </c>
      <c r="C7" s="5" t="inlineStr">
        <is>
          <t>Из протокола, п. 3. Настоящий файл и есть этот план.</t>
        </is>
      </c>
    </row>
    <row r="8">
      <c r="A8" s="5" t="inlineStr">
        <is>
          <t>Архитектура</t>
        </is>
      </c>
      <c r="B8" s="5" t="inlineStr">
        <is>
          <t>центр в ЦОД + выносы</t>
        </is>
      </c>
      <c r="C8" s="5" t="inlineStr">
        <is>
          <t>Центр — московский ЦОД: ДВА ЖИВЫХ УЗЛА в разных залах. Оба обслуживают вызовы, московские 80 абонентов поделены поровну и прописаны друг другу резервными. Панель управления FreePBX включена только на ЦОД-1. Выносы — Ростов, Нижний Новгород, Славянск-на-Кубани, Воронеж — работают узлами того же кластера: локальная регистрация телефонов и свой выход в город, при отказе площадки телефоны уходят в ЦОД.</t>
        </is>
      </c>
    </row>
    <row r="9">
      <c r="A9" s="5" t="inlineStr">
        <is>
          <t>Два зала ЦОД — независимы?</t>
        </is>
      </c>
      <c r="B9" s="5" t="inlineStr">
        <is>
          <t>ПРОВЕРИТЬ ДО СТАРТА</t>
        </is>
      </c>
      <c r="C9" s="5" t="inlineStr">
        <is>
          <t>КРИТИЧНО. Копия во втором зале даёт резервирование только если залы не делят физический хост, ввод питания и аплинк. Две стойки одного зала за одним вводом — это не две площадки, и вся схема резервирования теряет смысл. Проверяется в задаче 1 до выделения ВМ.</t>
        </is>
      </c>
    </row>
    <row r="10">
      <c r="A10" s="5" t="inlineStr">
        <is>
          <t>Дата начала работ</t>
        </is>
      </c>
      <c r="B10" s="6" t="n">
        <v>46272</v>
      </c>
      <c r="C10" s="5" t="inlineStr">
        <is>
          <t>ДОПУЩЕНИЕ. Понедельник. Отсчёт идёт от старта работ, то есть от стадии «проект открыт». Стадии 0–4 воронки плана автоматизации (постановка задачи, оценка, согласование карточки, ВЕ, приказа) в эти 15 недель не входят и идут до них.</t>
        </is>
      </c>
    </row>
    <row r="11">
      <c r="A11" s="5" t="inlineStr">
        <is>
          <t>Длительность, недель</t>
        </is>
      </c>
      <c r="B11" s="5" t="n">
        <v>16</v>
      </c>
      <c r="C11" s="5" t="inlineStr">
        <is>
          <t>Два этапа подряд: 11 недель без Воронежа + 4 недели Воронеж. Этапы последовательны по решению совещания, совмещать нельзя.</t>
        </is>
      </c>
    </row>
    <row r="12">
      <c r="A12" s="5" t="inlineStr">
        <is>
          <t>Дата завершения работ</t>
        </is>
      </c>
      <c r="B12" s="6" t="n">
        <v>46381</v>
      </c>
      <c r="C12" s="5" t="inlineStr">
        <is>
          <t>Дата начала + 15 недель, последний рабочий день</t>
        </is>
      </c>
    </row>
    <row r="13">
      <c r="A13" s="4" t="inlineStr">
        <is>
          <t>ЭТАП 1 — центр в ЦОД + все выносы, кроме Воронежа</t>
        </is>
      </c>
      <c r="B13" s="4" t="inlineStr">
        <is>
          <t>недели 1–12, 810 абонентов</t>
        </is>
      </c>
      <c r="C13" s="4" t="inlineStr">
        <is>
          <t>ЦОД-1 (Москва) 80, ЦОД-2 копия, Ростов 426 (включая Ставрополь 74), Нижний Новгород 164, Славянск-на-Кубани 140.</t>
        </is>
      </c>
    </row>
    <row r="14">
      <c r="A14" s="4" t="inlineStr">
        <is>
          <t>ЭТАП 2 — Воронеж</t>
        </is>
      </c>
      <c r="B14" s="4" t="inlineStr">
        <is>
          <t>недели 13–16, 445 абонентов</t>
        </is>
      </c>
      <c r="C14" s="4" t="inlineStr">
        <is>
          <t>Воронеж 229, Мясокомбинат 187, Калуга 29.</t>
        </is>
      </c>
    </row>
    <row r="15">
      <c r="A15" s="5" t="inlineStr">
        <is>
          <t>Порядок переноса центра</t>
        </is>
      </c>
      <c r="B15" s="5" t="inlineStr">
        <is>
          <t>Ростов → ЦОД-1 → +ЦОД-2</t>
        </is>
      </c>
      <c r="C15" s="5" t="inlineStr">
        <is>
          <t>Вся боевая база сейчас на ростовской АТС. Сначала она вводится в кластер как первый узел (задача 4), затем клонируется в ЦОД-1 и роль мастера передаётся туда, затем ЦОД-1 клонируется в ЦОД-2 (задача 5). Ростов после этого — обычный вынос со своими 426 абонентами. Переустановки нет ни на одном шаге, откат — возврат роли на Ростов.</t>
        </is>
      </c>
    </row>
    <row r="16">
      <c r="A16" s="5" t="inlineStr">
        <is>
          <t>Пилотный вынос</t>
        </is>
      </c>
      <c r="B16" s="5" t="inlineStr">
        <is>
          <t>Нижний Новгород</t>
        </is>
      </c>
      <c r="C16" s="5" t="inlineStr">
        <is>
          <t>ДОПУЩЕНИЕ. Воронеж выведен во второй этап и пилотом быть не может. Ростов к этому моменту уже узел — он вошёл в кластер при переносе центра. Из оставшихся Нижний Новгород крупнее (164) и единственный со станцией на консолидацию (ССЗ), то есть отрабатывает процедуру целиком.</t>
        </is>
      </c>
    </row>
    <row r="17">
      <c r="A17" s="5" t="inlineStr">
        <is>
          <t>Трудозатраты всего, ч-д</t>
        </is>
      </c>
      <c r="B17" s="5" t="n">
        <v>95</v>
      </c>
      <c r="C17" s="5" t="inlineStr">
        <is>
          <t>Сумма по задачам, см. лист плана</t>
        </is>
      </c>
    </row>
    <row r="18">
      <c r="A18" s="5" t="inlineStr">
        <is>
          <t xml:space="preserve">  в том числе инженер кластера</t>
        </is>
      </c>
      <c r="B18" s="5" t="n">
        <v>65</v>
      </c>
      <c r="C18" s="5" t="inlineStr">
        <is>
          <t>Задачи 1–7 и 10. Помещается в 15 недель × 5 дней = 75 ч-д одного человека.</t>
        </is>
      </c>
    </row>
    <row r="19">
      <c r="A19" s="5" t="inlineStr">
        <is>
          <t xml:space="preserve">  в том числе второй исполнитель</t>
        </is>
      </c>
      <c r="B19" s="5" t="n">
        <v>30</v>
      </c>
      <c r="C19" s="5" t="inlineStr">
        <is>
          <t>Задачи 8, 9, 11, 12 — консолидация мелких АТС и перенумерация. Работа организационная, идёт параллельно силами второго человека с частичной занятостью. Одним инженером весь объём в срок не выполняется — это ограничение плана, а не оценка.</t>
        </is>
      </c>
    </row>
    <row r="20">
      <c r="A20" s="5" t="inlineStr">
        <is>
          <t>Внутренняя ставка, ₽/ч-д</t>
        </is>
      </c>
      <c r="B20" s="5" t="n">
        <v>11515</v>
      </c>
      <c r="C20" s="5" t="inlineStr">
        <is>
          <t>Из формулы =11515*M4 в файле «План работ ДИТ 2023.xlsx», колонка «Плановая себестоимость внутренних затрат».</t>
        </is>
      </c>
    </row>
    <row r="21">
      <c r="A21" s="5" t="inlineStr">
        <is>
          <t>Плановая себестоимость внутренних затрат, ₽ без НДС</t>
        </is>
      </c>
      <c r="B21" s="7">
        <f>B17*B20</f>
        <v>1093925</v>
      </c>
      <c r="C21" s="5" t="inlineStr">
        <is>
          <t>Трудозатраты × ставка, рассчитывается формулой</t>
        </is>
      </c>
    </row>
    <row r="22">
      <c r="A22" s="5" t="inlineStr">
        <is>
          <t>Плановая себестоимость внешних затрат, ₽ без НДС</t>
        </is>
      </c>
      <c r="B22" s="7" t="n">
        <v>0</v>
      </c>
      <c r="C22" s="5" t="inlineStr">
        <is>
          <t>Всё программное обеспечение бесплатное: MariaDB Galera, Asterisk, FreePBX, OSS PBX End Point Manager. Все узлы — свои виртуальные машины, закупки нет.</t>
        </is>
      </c>
    </row>
    <row r="23">
      <c r="A23" s="5" t="inlineStr">
        <is>
          <t>Абонентов в периметре</t>
        </is>
      </c>
      <c r="B23" s="5" t="n">
        <v>1255</v>
      </c>
      <c r="C23" s="5" t="inlineStr">
        <is>
          <t>Аудит 12 станций, docs/plan/numbering-plan.csv</t>
        </is>
      </c>
    </row>
    <row r="24">
      <c r="A24" s="5" t="inlineStr">
        <is>
          <t>Станций сейчас</t>
        </is>
      </c>
      <c r="B24" s="5" t="n">
        <v>12</v>
      </c>
      <c r="C24" s="5" t="inlineStr">
        <is>
          <t>Там же</t>
        </is>
      </c>
    </row>
    <row r="25">
      <c r="A25" s="5" t="inlineStr">
        <is>
          <t>Узлов кластера после внедрения</t>
        </is>
      </c>
      <c r="B25" s="5" t="n">
        <v>6</v>
      </c>
      <c r="C25" s="5" t="inlineStr">
        <is>
          <t>ЦОД-1 40, ЦОД-2 40 (оба живые), Ростов 426, Нижний Новгород 164, Славянск-на-Кубани 140, Воронеж 445. Абонентов 1255 — сходится с аудитом.</t>
        </is>
      </c>
    </row>
    <row r="26">
      <c r="A26" s="5" t="inlineStr">
        <is>
          <t>Голосов в кворуме</t>
        </is>
      </c>
      <c r="B26" s="5" t="n">
        <v>7</v>
      </c>
      <c r="C26" s="5" t="inlineStr">
        <is>
          <t>Шесть узлов — число ЧЁТНОЕ, поэтому нужен арбитр garbd: он даёт седьмой голос и не хранит данные. Кластер переживает потерю двух узлов и остаётся работоспособным при потере ЦОД целиком (четыре голоса из семи в городах).</t>
        </is>
      </c>
    </row>
    <row r="27">
      <c r="A27" s="5" t="inlineStr">
        <is>
          <t>Где стоит арбитр</t>
        </is>
      </c>
      <c r="B27" s="5" t="inlineStr">
        <is>
          <t>Ростов, отдельная ВМ</t>
        </is>
      </c>
      <c r="C27" s="5" t="inlineStr">
        <is>
          <t>НЕ в ЦОД. Если поставить арбитр в ЦОД, потеря дата-центра уносит три голоса из семи разом. В Ростове — самая крупная площадка после Воронежа и своя инфраструктура. Требования: 1 vCPU, 512 МБ.</t>
        </is>
      </c>
    </row>
    <row r="28">
      <c r="A28" s="5" t="inlineStr">
        <is>
          <t>Кворум в конце этапа 1</t>
        </is>
      </c>
      <c r="B28" s="5" t="n">
        <v>5</v>
      </c>
      <c r="C28" s="5" t="inlineStr">
        <is>
          <t>Пять узлов — нечётное, арбитр на этапе 1 не нужен. Он ставится в задаче 11 вместе с вводом Воронежа, который делает число узлов чётным.</t>
        </is>
      </c>
    </row>
    <row r="29">
      <c r="A29" s="5" t="inlineStr">
        <is>
          <t>Виртуальных машин добавить</t>
        </is>
      </c>
      <c r="B29" s="5" t="n">
        <v>3</v>
      </c>
      <c r="C29" s="5" t="inlineStr">
        <is>
          <t>ЦОД-1, ЦОД-2 и ВМ под арбитр в Ростове. Все — свои мощности, закупки нет. У четырёх городских площадок машины уже есть.</t>
        </is>
      </c>
    </row>
    <row r="30">
      <c r="A30" s="5" t="inlineStr">
        <is>
          <t>Размещение ВМ по хостам</t>
        </is>
      </c>
      <c r="B30" s="5" t="inlineStr">
        <is>
          <t>проверить</t>
        </is>
      </c>
      <c r="C30" s="5" t="inlineStr">
        <is>
          <t>КРИТИЧНО. Узлы обязаны стоять на разных физических хостах: пять ВМ на одном гипервизоре — это не отказоустойчивый кластер, а пять копий одной точки отказа. Проверяется на этапе 1 до ввода второго узла.</t>
        </is>
      </c>
    </row>
    <row r="31">
      <c r="A31" s="5" t="inlineStr">
        <is>
          <t>Снимки ВМ как резервная копия</t>
        </is>
      </c>
      <c r="B31" s="5" t="inlineStr">
        <is>
          <t>нельзя</t>
        </is>
      </c>
      <c r="C31" s="5" t="inlineStr">
        <is>
          <t>Откат узла на снимок возвращает его с устаревшим seqno. Такой узел вводится обратно только через prepare-clone.sh --full-resync. Резервные копии снимаются на уровне базы (mysqldump), а не гипервизора.</t>
        </is>
      </c>
    </row>
    <row r="32">
      <c r="A32" s="5" t="inlineStr">
        <is>
          <t>Оба узла ЦОД — живые</t>
        </is>
      </c>
      <c r="B32" s="5" t="inlineStr">
        <is>
          <t>да</t>
        </is>
      </c>
      <c r="C32" s="5" t="inlineStr">
        <is>
          <t>ЦОД-2 не пассивная копия: он несёт вызовы наравне с ЦОД-1. Резерв, который никогда не берёт нагрузку, не проверен — поэтому 80 московских абонентов делятся по 40 на зал, и каждый зал прописан другому резервным. Отказ зала проверяется реальным трафиком, а не инструкцией.</t>
        </is>
      </c>
    </row>
    <row r="33">
      <c r="A33" s="5" t="inlineStr">
        <is>
          <t>Панель управления FreePBX</t>
        </is>
      </c>
      <c r="B33" s="5" t="inlineStr">
        <is>
          <t>ровно на одном узле</t>
        </is>
      </c>
      <c r="C33" s="5" t="inlineStr">
        <is>
          <t>Живой Asterisk — не второй FreePBX. Две включённые панели пишут в общую базу наперегонки. На ЦОД-2 FreePBX установлен (он клон) и выключен — включается за минуты. Переключение отрабатывается учебно в задаче 8.</t>
        </is>
      </c>
    </row>
    <row r="34">
      <c r="A34" s="5" t="inlineStr">
        <is>
          <t>Неделя 16 — предновогодняя</t>
        </is>
      </c>
      <c r="B34" s="5" t="inlineStr">
        <is>
          <t>21–25 декабря</t>
        </is>
      </c>
      <c r="C34" s="5" t="inlineStr">
        <is>
          <t>ВНИМАНИЕ. На эту неделю приходится завершение перенумерации Воронежа. Люди в отпусках, проверять изменения некому. Либо старт сдвигается на неделю раньше, либо задача 13 переносится на январь.</t>
        </is>
      </c>
    </row>
    <row r="36">
      <c r="A36" s="8" t="inlineStr">
        <is>
          <t>Что нужно заполнить вручную</t>
        </is>
      </c>
    </row>
    <row r="37">
      <c r="A37" s="9" t="inlineStr">
        <is>
          <t>Заказчик</t>
        </is>
      </c>
      <c r="B37" s="10" t="n"/>
      <c r="C37" s="11" t="inlineStr">
        <is>
          <t>Руководитель, от которого идёт задача. Формат «И. Фамилия».</t>
        </is>
      </c>
    </row>
    <row r="38">
      <c r="A38" s="9" t="inlineStr">
        <is>
          <t>Исполнитель</t>
        </is>
      </c>
      <c r="B38" s="10" t="n"/>
      <c r="C38" s="11" t="inlineStr">
        <is>
          <t>Инженер проекта и ответственные за задачи. Формат «И. Фамилия».</t>
        </is>
      </c>
    </row>
    <row r="39">
      <c r="A39" s="9" t="inlineStr">
        <is>
          <t>Номер приказа / внутреннего проекта</t>
        </is>
      </c>
      <c r="B39" s="10" t="n"/>
      <c r="C39" s="11" t="inlineStr">
        <is>
          <t>Присваивается при открытии проекта.</t>
        </is>
      </c>
    </row>
    <row r="40">
      <c r="A40" s="9" t="inlineStr">
        <is>
          <t>Дата протокола совещания</t>
        </is>
      </c>
      <c r="B40" s="10" t="n"/>
      <c r="C40" s="11" t="inlineStr">
        <is>
          <t>Проставить дату документа, из которого взята этапность.</t>
        </is>
      </c>
    </row>
    <row r="41">
      <c r="A41" s="9" t="inlineStr">
        <is>
          <t>IP-адреса Славянска-на-Кубани и локального PBX</t>
        </is>
      </c>
      <c r="B41" s="10" t="n"/>
      <c r="C41" s="11" t="inlineStr">
        <is>
          <t>В исходных данных аудита отсутствуют, запрашиваются в первую неделю.</t>
        </is>
      </c>
    </row>
    <row r="43">
      <c r="A43" s="12" t="inlineStr">
        <is>
          <t>Жёлтой заливкой отмечены ячейки, которые заполняются вручную.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1:Z22"/>
  <sheetViews>
    <sheetView zoomScale="80" workbookViewId="0">
      <pane xSplit="10" ySplit="2" topLeftCell="K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.699999999999999" customWidth="1" min="1" max="1"/>
    <col width="23.9" customWidth="1" min="2" max="2"/>
    <col width="12" customWidth="1" min="3" max="3"/>
    <col width="22" customWidth="1" min="4" max="4"/>
    <col width="16.6" customWidth="1" min="5" max="5"/>
    <col width="70.7" customWidth="1" min="6" max="6"/>
    <col width="18.3" customWidth="1" min="7" max="7"/>
    <col width="18.4" customWidth="1" min="8" max="8"/>
    <col width="8.9" customWidth="1" min="9" max="9"/>
    <col width="45.4" customWidth="1" min="10" max="10"/>
    <col width="3.9" customWidth="1" min="11" max="11"/>
    <col width="3.9" customWidth="1" min="12" max="12"/>
    <col width="3.9" customWidth="1" min="13" max="13"/>
    <col width="3.9" customWidth="1" min="14" max="14"/>
    <col width="3.9" customWidth="1" min="15" max="15"/>
    <col width="3.9" customWidth="1" min="16" max="16"/>
    <col width="3.9" customWidth="1" min="17" max="17"/>
    <col width="3.9" customWidth="1" min="18" max="18"/>
    <col width="3.9" customWidth="1" min="19" max="19"/>
    <col width="3.9" customWidth="1" min="20" max="20"/>
    <col width="3.9" customWidth="1" min="21" max="21"/>
    <col width="3.9" customWidth="1" min="22" max="22"/>
    <col width="3.9" customWidth="1" min="23" max="23"/>
    <col width="3.9" customWidth="1" min="24" max="24"/>
    <col width="3.9" customWidth="1" min="25" max="25"/>
    <col width="3.9" customWidth="1" min="26" max="26"/>
  </cols>
  <sheetData>
    <row r="1" ht="40" customHeight="1">
      <c r="C1" s="13" t="inlineStr">
        <is>
          <t>Статус проекта</t>
        </is>
      </c>
      <c r="D1" s="13" t="inlineStr">
        <is>
          <t>Срок проекта</t>
        </is>
      </c>
      <c r="E1" s="13" t="inlineStr">
        <is>
          <t>Заказчик</t>
        </is>
      </c>
      <c r="F1" s="13" t="inlineStr">
        <is>
          <t>Проект</t>
        </is>
      </c>
      <c r="G1" s="13" t="inlineStr">
        <is>
          <t>Стадии выполнения работ</t>
        </is>
      </c>
      <c r="H1" s="13" t="inlineStr">
        <is>
          <t>Исполнитель</t>
        </is>
      </c>
      <c r="I1" s="13" t="inlineStr">
        <is>
          <t>ТРЗ, ч/д</t>
        </is>
      </c>
      <c r="J1" s="13" t="inlineStr">
        <is>
          <t>Проблемы/Риски</t>
        </is>
      </c>
      <c r="K1" s="14" t="inlineStr">
        <is>
          <t>Сентябрь 2026</t>
        </is>
      </c>
      <c r="O1" s="14" t="inlineStr">
        <is>
          <t>Октябрь 2026</t>
        </is>
      </c>
      <c r="S1" s="14" t="inlineStr">
        <is>
          <t>Ноябрь 2026</t>
        </is>
      </c>
      <c r="X1" s="14" t="inlineStr">
        <is>
          <t>Декабрь 2026</t>
        </is>
      </c>
    </row>
    <row r="2">
      <c r="K2" s="15" t="inlineStr">
        <is>
          <t>07-13</t>
        </is>
      </c>
      <c r="L2" s="15" t="inlineStr">
        <is>
          <t>14-20</t>
        </is>
      </c>
      <c r="M2" s="15" t="inlineStr">
        <is>
          <t>21-27</t>
        </is>
      </c>
      <c r="N2" s="15" t="inlineStr">
        <is>
          <t>28-04</t>
        </is>
      </c>
      <c r="O2" s="15" t="inlineStr">
        <is>
          <t>05-11</t>
        </is>
      </c>
      <c r="P2" s="15" t="inlineStr">
        <is>
          <t>12-18</t>
        </is>
      </c>
      <c r="Q2" s="15" t="inlineStr">
        <is>
          <t>19-25</t>
        </is>
      </c>
      <c r="R2" s="15" t="inlineStr">
        <is>
          <t>26-01</t>
        </is>
      </c>
      <c r="S2" s="15" t="inlineStr">
        <is>
          <t>02-08</t>
        </is>
      </c>
      <c r="T2" s="15" t="inlineStr">
        <is>
          <t>09-15</t>
        </is>
      </c>
      <c r="U2" s="15" t="inlineStr">
        <is>
          <t>16-22</t>
        </is>
      </c>
      <c r="V2" s="15" t="inlineStr">
        <is>
          <t>23-29</t>
        </is>
      </c>
      <c r="W2" s="15" t="inlineStr">
        <is>
          <t>30-06</t>
        </is>
      </c>
      <c r="X2" s="15" t="inlineStr">
        <is>
          <t>07-13</t>
        </is>
      </c>
      <c r="Y2" s="15" t="inlineStr">
        <is>
          <t>14-20</t>
        </is>
      </c>
      <c r="Z2" s="15" t="inlineStr">
        <is>
          <t>21-27</t>
        </is>
      </c>
    </row>
    <row r="3">
      <c r="C3" s="16" t="inlineStr">
        <is>
          <t>норма</t>
        </is>
      </c>
      <c r="D3" s="16" t="inlineStr">
        <is>
          <t>07.09.26 - 25.12.26</t>
        </is>
      </c>
      <c r="E3" s="17" t="n"/>
      <c r="F3" s="16" t="inlineStr">
        <is>
          <t>Отказоустойчивый кластер телефонии на шесть регионов</t>
        </is>
      </c>
      <c r="G3" s="16" t="inlineStr">
        <is>
          <t>планируется</t>
        </is>
      </c>
      <c r="H3" s="17" t="n"/>
      <c r="I3" s="16">
        <f>SUM(I4:I16)</f>
        <v>95</v>
      </c>
      <c r="J3" s="16" t="inlineStr">
        <is>
          <t>1255 абонентов на 12 станциях сводятся в кластер из 8 узлов. Два узла (Ставрополь, Москва) создаются заново — своей АТС там нет, абоненты обслуживаются из Ростова. Контрольная точка после первой площадки: тиражирование не начинается, пока Воронеж не отработает две недели без замечаний.</t>
        </is>
      </c>
      <c r="K3" s="18" t="n"/>
      <c r="L3" s="18" t="n"/>
      <c r="M3" s="18" t="n"/>
      <c r="N3" s="18" t="n"/>
      <c r="O3" s="18" t="n"/>
      <c r="P3" s="18" t="n"/>
      <c r="Q3" s="18" t="n"/>
      <c r="R3" s="18" t="n"/>
      <c r="S3" s="18" t="n"/>
      <c r="T3" s="18" t="n"/>
      <c r="U3" s="18" t="n"/>
      <c r="V3" s="18" t="n"/>
      <c r="W3" s="18" t="n"/>
      <c r="X3" s="18" t="n"/>
      <c r="Y3" s="18" t="n"/>
      <c r="Z3" s="18" t="n"/>
    </row>
    <row r="4">
      <c r="C4" s="19" t="n"/>
      <c r="D4" s="19" t="n"/>
      <c r="E4" s="19" t="n"/>
      <c r="F4" s="19" t="inlineStr">
        <is>
          <t>1. Подготовка: ЦОД, сеть, виртуальные машины, договорённости с операторами</t>
        </is>
      </c>
      <c r="G4" s="19" t="inlineStr">
        <is>
          <t>планируется</t>
        </is>
      </c>
      <c r="H4" s="20" t="n"/>
      <c r="I4" s="19" t="n">
        <v>8</v>
      </c>
      <c r="J4" s="19" t="inlineStr">
        <is>
          <t>КЛЮЧЕВАЯ ПРОВЕРКА: два зала ЦОД обязаны быть независимы по хосту, питанию и аплинку. Если это две стойки одного зала за одним вводом, копия во втором зале не даёт резервирования и вся схема теряет смысл. Также: RTT выше 50 мс до площадки — площадка не включается в синхронную репликацию.</t>
        </is>
      </c>
      <c r="K4" s="18" t="n"/>
      <c r="L4" s="18" t="n"/>
    </row>
    <row r="5">
      <c r="C5" s="19" t="n"/>
      <c r="D5" s="19" t="n"/>
      <c r="E5" s="19" t="n"/>
      <c r="F5" s="19" t="inlineStr">
        <is>
          <t>2. Смена учётных данных и защита периметра</t>
        </is>
      </c>
      <c r="G5" s="19" t="inlineStr">
        <is>
          <t>планируется</t>
        </is>
      </c>
      <c r="H5" s="20" t="n"/>
      <c r="I5" s="19" t="n">
        <v>10</v>
      </c>
      <c r="J5" s="19" t="inlineStr"/>
      <c r="K5" s="18" t="n"/>
      <c r="L5" s="18" t="n"/>
    </row>
    <row r="6">
      <c r="C6" s="19" t="n"/>
      <c r="D6" s="19" t="n"/>
      <c r="E6" s="19" t="n"/>
      <c r="F6" s="19" t="inlineStr">
        <is>
          <t>3. Испытательный стенд</t>
        </is>
      </c>
      <c r="G6" s="19" t="inlineStr">
        <is>
          <t>планируется</t>
        </is>
      </c>
      <c r="H6" s="20" t="n"/>
      <c r="I6" s="19" t="n">
        <v>6</v>
      </c>
      <c r="J6" s="19" t="inlineStr"/>
      <c r="M6" s="18" t="n"/>
    </row>
    <row r="7">
      <c r="C7" s="19" t="n"/>
      <c r="D7" s="19" t="n"/>
      <c r="E7" s="19" t="n"/>
      <c r="F7" s="19" t="inlineStr">
        <is>
          <t>4. Ростовская АТС — первый узел кластера</t>
        </is>
      </c>
      <c r="G7" s="19" t="inlineStr">
        <is>
          <t>планируется</t>
        </is>
      </c>
      <c r="H7" s="20" t="n"/>
      <c r="I7" s="19" t="n">
        <v>4</v>
      </c>
      <c r="J7" s="19" t="inlineStr">
        <is>
          <t>Требуется окно на перезапуск базы: новые вызовы не устанавливаются около минуты.</t>
        </is>
      </c>
      <c r="N7" s="18" t="n"/>
    </row>
    <row r="8">
      <c r="C8" s="19" t="n"/>
      <c r="D8" s="19" t="n"/>
      <c r="E8" s="19" t="n"/>
      <c r="F8" s="19" t="inlineStr">
        <is>
          <t>5. Центр в московском ЦОД: два живых узла в разных залах</t>
        </is>
      </c>
      <c r="G8" s="19" t="inlineStr">
        <is>
          <t>планируется</t>
        </is>
      </c>
      <c r="H8" s="20" t="n"/>
      <c r="I8" s="19" t="n">
        <v>10</v>
      </c>
      <c r="J8" s="19" t="inlineStr">
        <is>
          <t>Перенос центра из Ростова в ЦОД — самая ответственная операция этапа 1. Передача роли мастера здесь боевая, а не учебная, поэтому процедура обязана быть отработана на стенде (задача 3). Откат: роль возвращается на Ростов, который остаётся полноценным узлом.</t>
        </is>
      </c>
      <c r="O8" s="18" t="n"/>
      <c r="P8" s="18" t="n"/>
    </row>
    <row r="9">
      <c r="C9" s="19" t="n"/>
      <c r="D9" s="19" t="n"/>
      <c r="E9" s="19" t="n"/>
      <c r="F9" s="19" t="inlineStr">
        <is>
          <t>6. Пилотный вынос — Нижний Новгород</t>
        </is>
      </c>
      <c r="G9" s="19" t="inlineStr">
        <is>
          <t>планируется</t>
        </is>
      </c>
      <c r="H9" s="20" t="n"/>
      <c r="I9" s="19" t="n">
        <v>10</v>
      </c>
      <c r="J9" s="19" t="inlineStr">
        <is>
          <t>Контрольная точка этапа 1. Пилот — Нижний Новгород: Воронеж по решению совещания вынесен во второй этап и пилотом быть не может.</t>
        </is>
      </c>
      <c r="Q9" s="18" t="n"/>
      <c r="R9" s="18" t="n"/>
    </row>
    <row r="10">
      <c r="C10" s="19" t="n"/>
      <c r="D10" s="19" t="n"/>
      <c r="E10" s="19" t="n"/>
      <c r="F10" s="19" t="inlineStr">
        <is>
          <t>7. Вынос Славянск-на-Кубани</t>
        </is>
      </c>
      <c r="G10" s="19" t="inlineStr">
        <is>
          <t>планируется</t>
        </is>
      </c>
      <c r="H10" s="20" t="n"/>
      <c r="I10" s="19" t="n">
        <v>5</v>
      </c>
      <c r="J10" s="19" t="inlineStr"/>
      <c r="S10" s="18" t="n"/>
    </row>
    <row r="11">
      <c r="C11" s="19" t="n"/>
      <c r="D11" s="19" t="n"/>
      <c r="E11" s="19" t="n"/>
      <c r="F11" s="19" t="inlineStr">
        <is>
          <t>8. Учебное переключение управления между залами ЦОД</t>
        </is>
      </c>
      <c r="G11" s="19" t="inlineStr">
        <is>
          <t>планируется</t>
        </is>
      </c>
      <c r="H11" s="20" t="n"/>
      <c r="I11" s="19" t="n">
        <v>3</v>
      </c>
      <c r="J11" s="19" t="inlineStr">
        <is>
          <t>Панель FreePBX обязана быть включена РОВНО на одном узле: две активные панели пишут в общую базу наперегонки. Вызовы это не затрагивает — их несут оба зала постоянно. Время переключения измеряется и вносится в регламент.</t>
        </is>
      </c>
      <c r="T11" s="18" t="n"/>
    </row>
    <row r="12">
      <c r="C12" s="19" t="n"/>
      <c r="D12" s="19" t="n"/>
      <c r="E12" s="19" t="n"/>
      <c r="F12" s="19" t="inlineStr">
        <is>
          <t>9. Консолидация мелких АТС этапа 1</t>
        </is>
      </c>
      <c r="G12" s="19" t="inlineStr">
        <is>
          <t>планируется</t>
        </is>
      </c>
      <c r="H12" s="20" t="n"/>
      <c r="I12" s="19" t="n">
        <v>6</v>
      </c>
      <c r="J12" s="19" t="inlineStr"/>
      <c r="R12" s="18" t="n"/>
      <c r="S12" s="18" t="n"/>
      <c r="T12" s="18" t="n"/>
      <c r="U12" s="18" t="n"/>
    </row>
    <row r="13">
      <c r="C13" s="19" t="n"/>
      <c r="D13" s="19" t="n"/>
      <c r="E13" s="19" t="n"/>
      <c r="F13" s="19" t="inlineStr">
        <is>
          <t>10. Перевод абонентов этапа 1 на единый план нумерации</t>
        </is>
      </c>
      <c r="G13" s="19" t="inlineStr">
        <is>
          <t>планируется</t>
        </is>
      </c>
      <c r="H13" s="20" t="n"/>
      <c r="I13" s="19" t="n">
        <v>12</v>
      </c>
      <c r="J13" s="19" t="inlineStr">
        <is>
          <t>Организационный поток, идёт силами второго исполнителя. Переходный период не менее месяца, старый номер остаётся рабочим.</t>
        </is>
      </c>
      <c r="P13" s="18" t="n"/>
      <c r="Q13" s="18" t="n"/>
      <c r="R13" s="18" t="n"/>
      <c r="S13" s="18" t="n"/>
      <c r="T13" s="18" t="n"/>
      <c r="U13" s="18" t="n"/>
      <c r="V13" s="18" t="n"/>
    </row>
    <row r="14">
      <c r="C14" s="19" t="n"/>
      <c r="D14" s="19" t="n"/>
      <c r="E14" s="19" t="n"/>
      <c r="F14" s="19" t="inlineStr">
        <is>
          <t>11. Воронежский вынос и арбитр кворума</t>
        </is>
      </c>
      <c r="G14" s="19" t="inlineStr">
        <is>
          <t>планируется</t>
        </is>
      </c>
      <c r="H14" s="20" t="n"/>
      <c r="I14" s="19" t="n">
        <v>9</v>
      </c>
      <c r="J14" s="19" t="inlineStr">
        <is>
          <t>С вводом Воронежа узлов шесть — ЧЁТНОЕ ЧИСЛО. Без арбитра при разрыве сети пополам большинства нет ни у одной половины. Арбитр ставится в Ростове, а не в ЦОД: иначе потеря ЦОД целиком уносит три голоса из семи. Кроме того, 445 абонентов — треть периметра — переводятся в конце графика, запаса после них не остаётся.</t>
        </is>
      </c>
      <c r="W14" s="18" t="n"/>
      <c r="X14" s="18" t="n"/>
    </row>
    <row r="15">
      <c r="C15" s="19" t="n"/>
      <c r="D15" s="19" t="n"/>
      <c r="E15" s="19" t="n"/>
      <c r="F15" s="19" t="inlineStr">
        <is>
          <t>12. Консолидация воронежских АТС</t>
        </is>
      </c>
      <c r="G15" s="19" t="inlineStr">
        <is>
          <t>планируется</t>
        </is>
      </c>
      <c r="H15" s="20" t="n"/>
      <c r="I15" s="19" t="n">
        <v>6</v>
      </c>
      <c r="J15" s="19" t="inlineStr"/>
      <c r="X15" s="18" t="n"/>
      <c r="Y15" s="18" t="n"/>
    </row>
    <row r="16">
      <c r="C16" s="19" t="n"/>
      <c r="D16" s="19" t="n"/>
      <c r="E16" s="19" t="n"/>
      <c r="F16" s="19" t="inlineStr">
        <is>
          <t>13. Перевод воронежских абонентов на единый план нумерации</t>
        </is>
      </c>
      <c r="G16" s="19" t="inlineStr">
        <is>
          <t>планируется</t>
        </is>
      </c>
      <c r="H16" s="20" t="n"/>
      <c r="I16" s="19" t="n">
        <v>6</v>
      </c>
      <c r="J16" s="19" t="inlineStr">
        <is>
          <t>Неделя 16 приходится на предновогоднюю — 21–25 декабря. Перевод номеров в эту неделю нежелателен: люди в отпусках, изменения некому проверять. Либо старт сдвигается на неделю раньше, либо задача 13 переносится на январь.</t>
        </is>
      </c>
      <c r="X16" s="18" t="n"/>
      <c r="Y16" s="18" t="n"/>
      <c r="Z16" s="18" t="n"/>
    </row>
    <row r="19">
      <c r="F19" s="8" t="inlineStr">
        <is>
          <t>Статусы открытых/закрытых проектов:</t>
        </is>
      </c>
    </row>
    <row r="20">
      <c r="F20" s="21" t="inlineStr">
        <is>
          <t>норма</t>
        </is>
      </c>
      <c r="G20" s="11" t="inlineStr">
        <is>
          <t>отклонений по плановым срокам основных вех/трудозатратам нет</t>
        </is>
      </c>
    </row>
    <row r="21">
      <c r="F21" s="22" t="inlineStr">
        <is>
          <t>внимание</t>
        </is>
      </c>
      <c r="G21" s="11" t="inlineStr">
        <is>
          <t>есть вероятность отклонений по плановым срокам основных вех/трудозатратам, которые могут повлиять на изменение плановых сроков/трудозатрат проекта</t>
        </is>
      </c>
    </row>
    <row r="22">
      <c r="F22" s="23" t="inlineStr">
        <is>
          <t>тревога</t>
        </is>
      </c>
      <c r="G22" s="11" t="inlineStr">
        <is>
          <t>есть отклонения по плановым срокам основных вех/трудозатратам</t>
        </is>
      </c>
    </row>
  </sheetData>
  <mergeCells count="7">
    <mergeCell ref="G22:J22"/>
    <mergeCell ref="O1:R1"/>
    <mergeCell ref="G20:J20"/>
    <mergeCell ref="S1:W1"/>
    <mergeCell ref="G21:J21"/>
    <mergeCell ref="K1:N1"/>
    <mergeCell ref="X1:Z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2026-08-21T06:05:27Z</dcterms:created>
  <dcterms:modified xsi:type="dcterms:W3CDTF">2026-08-21T06:05:27Z</dcterms:modified>
</cp:coreProperties>
</file>