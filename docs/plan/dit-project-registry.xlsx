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Стойки в ЦОД</t>
        </is>
      </c>
      <c r="B9" s="5" t="inlineStr">
        <is>
          <t>наши, залы независимы</t>
        </is>
      </c>
      <c r="C9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10">
      <c r="A10" s="5" t="inlineStr">
        <is>
          <t>Ждать никого не нужно</t>
        </is>
      </c>
      <c r="B10" s="5" t="inlineStr">
        <is>
          <t>да</t>
        </is>
      </c>
      <c r="C10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11">
      <c r="A11" s="5" t="inlineStr">
        <is>
          <t>Дата начала работ</t>
        </is>
      </c>
      <c r="B11" s="6" t="n">
        <v>46272</v>
      </c>
      <c r="C11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2">
      <c r="A12" s="5" t="inlineStr">
        <is>
          <t>Длительность, недель</t>
        </is>
      </c>
      <c r="B12" s="5" t="n">
        <v>16</v>
      </c>
      <c r="C12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3">
      <c r="A13" s="5" t="inlineStr">
        <is>
          <t>Дата завершения работ</t>
        </is>
      </c>
      <c r="B13" s="6" t="n">
        <v>46381</v>
      </c>
      <c r="C13" s="5" t="inlineStr">
        <is>
          <t>Дата начала + 15 недель, последний рабочий день</t>
        </is>
      </c>
    </row>
    <row r="14">
      <c r="A14" s="4" t="inlineStr">
        <is>
          <t>ЭТАП 1 — центр в ЦОД + все выносы, кроме Воронежа</t>
        </is>
      </c>
      <c r="B14" s="4" t="inlineStr">
        <is>
          <t>недели 1–12, 810 абонентов</t>
        </is>
      </c>
      <c r="C14" s="4" t="inlineStr">
        <is>
          <t>ЦОД-1 40 и ЦОД-2 40, Ростов 352, Ставрополь 74, Нижний Новгород 164, Славянск-на-Кубани 140.</t>
        </is>
      </c>
    </row>
    <row r="15">
      <c r="A15" s="4" t="inlineStr">
        <is>
          <t>ЭТАП 2 — Воронеж</t>
        </is>
      </c>
      <c r="B15" s="4" t="inlineStr">
        <is>
          <t>недели 13–16, 445 абонентов</t>
        </is>
      </c>
      <c r="C15" s="4" t="inlineStr">
        <is>
          <t>Воронеж 229, Мясокомбинат 187, Калуга 29.</t>
        </is>
      </c>
    </row>
    <row r="16">
      <c r="A16" s="5" t="inlineStr">
        <is>
          <t>Ставрополь получает свою АТС</t>
        </is>
      </c>
      <c r="B16" s="5" t="inlineStr">
        <is>
          <t>да, задача 8.2</t>
        </is>
      </c>
      <c r="C16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7">
      <c r="A17" s="5" t="inlineStr">
        <is>
          <t>Порядок переноса центра</t>
        </is>
      </c>
      <c r="B17" s="5" t="inlineStr">
        <is>
          <t>Ростов → ЦОД-1 → +ЦОД-2</t>
        </is>
      </c>
      <c r="C17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8">
      <c r="A18" s="5" t="inlineStr">
        <is>
          <t>Пилотный вынос</t>
        </is>
      </c>
      <c r="B18" s="5" t="inlineStr">
        <is>
          <t>Нижний Новгород</t>
        </is>
      </c>
      <c r="C18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9">
      <c r="A19" s="5" t="inlineStr">
        <is>
          <t>Трудозатраты всего, ч-д</t>
        </is>
      </c>
      <c r="B19" s="5" t="n">
        <v>98</v>
      </c>
      <c r="C19" s="5" t="inlineStr">
        <is>
          <t>Сумма по задачам, см. лист плана</t>
        </is>
      </c>
    </row>
    <row r="20">
      <c r="A20" s="5" t="inlineStr">
        <is>
          <t xml:space="preserve">  в том числе инженер кластера</t>
        </is>
      </c>
      <c r="B20" s="5" t="n">
        <v>68</v>
      </c>
      <c r="C20" s="5" t="inlineStr">
        <is>
          <t>Задачи 1–7 и 10. Помещается в 15 недель × 5 дней = 75 ч-д одного человека.</t>
        </is>
      </c>
    </row>
    <row r="21">
      <c r="A21" s="5" t="inlineStr">
        <is>
          <t xml:space="preserve">  в том числе второй исполнитель</t>
        </is>
      </c>
      <c r="B21" s="5" t="n">
        <v>30</v>
      </c>
      <c r="C21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2">
      <c r="A22" s="5" t="inlineStr">
        <is>
          <t>Внутренняя ставка, ₽/ч-д</t>
        </is>
      </c>
      <c r="B22" s="5" t="n">
        <v>11515</v>
      </c>
      <c r="C22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3">
      <c r="A23" s="5" t="inlineStr">
        <is>
          <t>Плановая себестоимость внутренних затрат, ₽ без НДС</t>
        </is>
      </c>
      <c r="B23" s="7">
        <f>B19*B22</f>
        <v>1128470</v>
      </c>
      <c r="C23" s="5" t="inlineStr">
        <is>
          <t>Трудозатраты × ставка, рассчитывается формулой</t>
        </is>
      </c>
    </row>
    <row r="24">
      <c r="A24" s="5" t="inlineStr">
        <is>
          <t>Плановая себестоимость внешних затрат, ₽ без НДС</t>
        </is>
      </c>
      <c r="B24" s="7" t="n">
        <v>0</v>
      </c>
      <c r="C24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5">
      <c r="A25" s="5" t="inlineStr">
        <is>
          <t>Абонентов в периметре</t>
        </is>
      </c>
      <c r="B25" s="5" t="n">
        <v>1255</v>
      </c>
      <c r="C25" s="5" t="inlineStr">
        <is>
          <t>Аудит 12 станций, docs/plan/numbering-plan.csv</t>
        </is>
      </c>
    </row>
    <row r="26">
      <c r="A26" s="5" t="inlineStr">
        <is>
          <t>Станций сейчас</t>
        </is>
      </c>
      <c r="B26" s="5" t="n">
        <v>12</v>
      </c>
      <c r="C26" s="5" t="inlineStr">
        <is>
          <t>Там же</t>
        </is>
      </c>
    </row>
    <row r="27">
      <c r="A27" s="5" t="inlineStr">
        <is>
          <t>Узлов кластера после внедрения</t>
        </is>
      </c>
      <c r="B27" s="5" t="n">
        <v>7</v>
      </c>
      <c r="C27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8">
      <c r="A28" s="5" t="inlineStr">
        <is>
          <t>Голосов в кворуме</t>
        </is>
      </c>
      <c r="B28" s="5" t="n">
        <v>7</v>
      </c>
      <c r="C28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9">
      <c r="A29" s="5" t="inlineStr">
        <is>
          <t>Арбитр garbd</t>
        </is>
      </c>
      <c r="B29" s="5" t="inlineStr">
        <is>
          <t>не нужен</t>
        </is>
      </c>
      <c r="C29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0">
      <c r="A30" s="5" t="inlineStr">
        <is>
          <t>Кворум в конце этапа 1</t>
        </is>
      </c>
      <c r="B30" s="5" t="n">
        <v>6</v>
      </c>
      <c r="C30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1">
      <c r="A31" s="5" t="inlineStr">
        <is>
          <t>Виртуальных машин добавить</t>
        </is>
      </c>
      <c r="B31" s="5" t="n">
        <v>3</v>
      </c>
      <c r="C31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2">
      <c r="A32" s="5" t="inlineStr">
        <is>
          <t>Размещение ВМ по хостам</t>
        </is>
      </c>
      <c r="B32" s="5" t="inlineStr">
        <is>
          <t>проверить</t>
        </is>
      </c>
      <c r="C32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3">
      <c r="A33" s="5" t="inlineStr">
        <is>
          <t>Снимки ВМ как резервная копия</t>
        </is>
      </c>
      <c r="B33" s="5" t="inlineStr">
        <is>
          <t>нельзя</t>
        </is>
      </c>
      <c r="C33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4">
      <c r="A34" s="5" t="inlineStr">
        <is>
          <t>Оба узла ЦОД — живые</t>
        </is>
      </c>
      <c r="B34" s="5" t="inlineStr">
        <is>
          <t>да</t>
        </is>
      </c>
      <c r="C34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5">
      <c r="A35" s="5" t="inlineStr">
        <is>
          <t>Панель управления FreePBX</t>
        </is>
      </c>
      <c r="B35" s="5" t="inlineStr">
        <is>
          <t>ровно на одном узле</t>
        </is>
      </c>
      <c r="C35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6">
      <c r="A36" s="5" t="inlineStr">
        <is>
          <t>Неделя 16 — предновогодняя</t>
        </is>
      </c>
      <c r="B36" s="5" t="inlineStr">
        <is>
          <t>21–25 декабря</t>
        </is>
      </c>
      <c r="C36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8">
      <c r="A38" s="8" t="inlineStr">
        <is>
          <t>Что нужно заполнить вручную</t>
        </is>
      </c>
    </row>
    <row r="39">
      <c r="A39" s="9" t="inlineStr">
        <is>
          <t>Заказчик</t>
        </is>
      </c>
      <c r="B39" s="10" t="n"/>
      <c r="C39" s="11" t="inlineStr">
        <is>
          <t>Руководитель, от которого идёт задача. Формат «И. Фамилия».</t>
        </is>
      </c>
    </row>
    <row r="40">
      <c r="A40" s="9" t="inlineStr">
        <is>
          <t>Исполнитель</t>
        </is>
      </c>
      <c r="B40" s="10" t="n"/>
      <c r="C40" s="11" t="inlineStr">
        <is>
          <t>Инженер проекта и ответственные за задачи. Формат «И. Фамилия».</t>
        </is>
      </c>
    </row>
    <row r="41">
      <c r="A41" s="9" t="inlineStr">
        <is>
          <t>Номер приказа / внутреннего проекта</t>
        </is>
      </c>
      <c r="B41" s="10" t="n"/>
      <c r="C41" s="11" t="inlineStr">
        <is>
          <t>Присваивается при открытии проекта.</t>
        </is>
      </c>
    </row>
    <row r="42">
      <c r="A42" s="9" t="inlineStr">
        <is>
          <t>Дата протокола совещания</t>
        </is>
      </c>
      <c r="B42" s="10" t="n"/>
      <c r="C42" s="11" t="inlineStr">
        <is>
          <t>Проставить дату документа, из которого взята этапность.</t>
        </is>
      </c>
    </row>
    <row r="43">
      <c r="A43" s="9" t="inlineStr">
        <is>
          <t>Адресный план узлов</t>
        </is>
      </c>
      <c r="B43" s="10" t="n"/>
      <c r="C43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5">
      <c r="A45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2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Отказоустойчивый кластер телефонии на шесть регионов</t>
        </is>
      </c>
      <c r="G3" s="16" t="inlineStr">
        <is>
          <t>планируется</t>
        </is>
      </c>
      <c r="H3" s="17" t="n"/>
      <c r="I3" s="16">
        <f>SUM(I4:I16)</f>
        <v>98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Единственная точка принятия решения во всём плане — RTT: выше 50 мс до площадки означает, что мы не включаем её в синхронную репликацию и ставим автономную АТС с транком до ЦОД. Всё остальное в этой задаче делаем сами и в своём темпе: ждать нам никого не нужно.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Испытательный стенд</t>
        </is>
      </c>
      <c r="G6" s="19" t="inlineStr">
        <is>
          <t>планируется</t>
        </is>
      </c>
      <c r="H6" s="20" t="n"/>
      <c r="I6" s="19" t="n">
        <v>6</v>
      </c>
      <c r="J6" s="19" t="inlineStr"/>
      <c r="M6" s="18" t="n"/>
    </row>
    <row r="7">
      <c r="C7" s="19" t="n"/>
      <c r="D7" s="19" t="n"/>
      <c r="E7" s="19" t="n"/>
      <c r="F7" s="19" t="inlineStr">
        <is>
          <t>4. Ростовская АТС — первый узел кластера</t>
        </is>
      </c>
      <c r="G7" s="19" t="inlineStr">
        <is>
          <t>планируется</t>
        </is>
      </c>
      <c r="H7" s="20" t="n"/>
      <c r="I7" s="19" t="n">
        <v>4</v>
      </c>
      <c r="J7" s="19" t="inlineStr">
        <is>
          <t>Требуется окно на перезапуск базы: новые вызовы не устанавливаются около минуты.</t>
        </is>
      </c>
      <c r="N7" s="18" t="n"/>
    </row>
    <row r="8">
      <c r="C8" s="19" t="n"/>
      <c r="D8" s="19" t="n"/>
      <c r="E8" s="19" t="n"/>
      <c r="F8" s="19" t="inlineStr">
        <is>
          <t>5. Центр в московском ЦОД: два живых узла в разных залах</t>
        </is>
      </c>
      <c r="G8" s="19" t="inlineStr">
        <is>
          <t>планируется</t>
        </is>
      </c>
      <c r="H8" s="20" t="n"/>
      <c r="I8" s="19" t="n">
        <v>10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O8" s="18" t="n"/>
      <c r="P8" s="18" t="n"/>
    </row>
    <row r="9">
      <c r="C9" s="19" t="n"/>
      <c r="D9" s="19" t="n"/>
      <c r="E9" s="19" t="n"/>
      <c r="F9" s="19" t="inlineStr">
        <is>
          <t>6. Пилотный вынос — Нижний Новгород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может, а Ростов к этому моменту уже узел.</t>
        </is>
      </c>
      <c r="Q9" s="18" t="n"/>
      <c r="R9" s="18" t="n"/>
    </row>
    <row r="10">
      <c r="C10" s="19" t="n"/>
      <c r="D10" s="19" t="n"/>
      <c r="E10" s="19" t="n"/>
      <c r="F10" s="19" t="inlineStr">
        <is>
          <t>7. Учебное переключение управления между залами ЦОД</t>
        </is>
      </c>
      <c r="G10" s="19" t="inlineStr">
        <is>
          <t>планируется</t>
        </is>
      </c>
      <c r="H10" s="20" t="n"/>
      <c r="I10" s="19" t="n">
        <v>3</v>
      </c>
      <c r="J10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</t>
        </is>
      </c>
      <c r="S10" s="18" t="n"/>
    </row>
    <row r="11">
      <c r="C11" s="19" t="n"/>
      <c r="D11" s="19" t="n"/>
      <c r="E11" s="19" t="n"/>
      <c r="F11" s="19" t="inlineStr">
        <is>
          <t>8. Выносы Славянск-на-Кубани и Ставрополь</t>
        </is>
      </c>
      <c r="G11" s="19" t="inlineStr">
        <is>
          <t>планируется</t>
        </is>
      </c>
      <c r="H11" s="20" t="n"/>
      <c r="I11" s="19" t="n">
        <v>9</v>
      </c>
      <c r="J11" s="19" t="inlineStr">
        <is>
          <t>На неделях 11–12 узлов шесть — число чётное: кластер переживает потерю только двух узлов, а при разрыве сети пополам большинства нет ни у одной половины. Окно короткое и закрывается вводом Воронежа. Если даже две недели такого состояния неприемлемы, на этот период ставится временный арбитр garbd.</t>
        </is>
      </c>
      <c r="T11" s="18" t="n"/>
      <c r="U11" s="18" t="n"/>
    </row>
    <row r="12">
      <c r="C12" s="19" t="n"/>
      <c r="D12" s="19" t="n"/>
      <c r="E12" s="19" t="n"/>
      <c r="F12" s="19" t="inlineStr">
        <is>
          <t>9. Консолидация мелких АТС этапа 1</t>
        </is>
      </c>
      <c r="G12" s="19" t="inlineStr">
        <is>
          <t>планируется</t>
        </is>
      </c>
      <c r="H12" s="20" t="n"/>
      <c r="I12" s="19" t="n">
        <v>6</v>
      </c>
      <c r="J12" s="19" t="inlineStr"/>
      <c r="R12" s="18" t="n"/>
      <c r="S12" s="18" t="n"/>
      <c r="T12" s="18" t="n"/>
      <c r="U12" s="18" t="n"/>
    </row>
    <row r="13">
      <c r="C13" s="19" t="n"/>
      <c r="D13" s="19" t="n"/>
      <c r="E13" s="19" t="n"/>
      <c r="F13" s="19" t="inlineStr">
        <is>
          <t>10. Перевод абонентов этапа 1 на единый план нумерации</t>
        </is>
      </c>
      <c r="G13" s="19" t="inlineStr">
        <is>
          <t>планируется</t>
        </is>
      </c>
      <c r="H13" s="20" t="n"/>
      <c r="I13" s="19" t="n">
        <v>12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P13" s="18" t="n"/>
      <c r="Q13" s="18" t="n"/>
      <c r="R13" s="18" t="n"/>
      <c r="S13" s="18" t="n"/>
      <c r="T13" s="18" t="n"/>
      <c r="U13" s="18" t="n"/>
      <c r="V13" s="18" t="n"/>
    </row>
    <row r="14">
      <c r="C14" s="19" t="n"/>
      <c r="D14" s="19" t="n"/>
      <c r="E14" s="19" t="n"/>
      <c r="F14" s="19" t="inlineStr">
        <is>
          <t>11. Воронежский вынос</t>
        </is>
      </c>
      <c r="G14" s="19" t="inlineStr">
        <is>
          <t>планируется</t>
        </is>
      </c>
      <c r="H14" s="20" t="n"/>
      <c r="I14" s="19" t="n">
        <v>8</v>
      </c>
      <c r="J14" s="19" t="inlineStr">
        <is>
          <t>445 абонентов — треть периметра — переводятся в конце графика, запаса после них не остаётся. Зато с вводом Воронежа узлов становится семь: число нечётное, арбитр в итоговой схеме не нужен.</t>
        </is>
      </c>
      <c r="W14" s="18" t="n"/>
      <c r="X14" s="18" t="n"/>
    </row>
    <row r="15">
      <c r="C15" s="19" t="n"/>
      <c r="D15" s="19" t="n"/>
      <c r="E15" s="19" t="n"/>
      <c r="F15" s="19" t="inlineStr">
        <is>
          <t>12. Консолидация воронежских АТС</t>
        </is>
      </c>
      <c r="G15" s="19" t="inlineStr">
        <is>
          <t>планируется</t>
        </is>
      </c>
      <c r="H15" s="20" t="n"/>
      <c r="I15" s="19" t="n">
        <v>6</v>
      </c>
      <c r="J15" s="19" t="inlineStr"/>
      <c r="X15" s="18" t="n"/>
      <c r="Y15" s="18" t="n"/>
    </row>
    <row r="16">
      <c r="C16" s="19" t="n"/>
      <c r="D16" s="19" t="n"/>
      <c r="E16" s="19" t="n"/>
      <c r="F16" s="19" t="inlineStr">
        <is>
          <t>13. Перевод воронежских абонентов на единый план нумерации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  <c r="Z16" s="18" t="n"/>
    </row>
    <row r="19">
      <c r="F19" s="8" t="inlineStr">
        <is>
          <t>Статусы открытых/закрытых проектов:</t>
        </is>
      </c>
    </row>
    <row r="20">
      <c r="F20" s="21" t="inlineStr">
        <is>
          <t>норма</t>
        </is>
      </c>
      <c r="G20" s="11" t="inlineStr">
        <is>
          <t>отклонений по плановым срокам основных вех/трудозатратам нет</t>
        </is>
      </c>
    </row>
    <row r="21">
      <c r="F21" s="22" t="inlineStr">
        <is>
          <t>внимание</t>
        </is>
      </c>
      <c r="G21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2">
      <c r="F22" s="23" t="inlineStr">
        <is>
          <t>тревога</t>
        </is>
      </c>
      <c r="G22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0:J20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2026-08-21T06:23:33Z</dcterms:created>
  <dcterms:modified xsi:type="dcterms:W3CDTF">2026-08-21T06:23:33Z</dcterms:modified>
</cp:coreProperties>
</file>