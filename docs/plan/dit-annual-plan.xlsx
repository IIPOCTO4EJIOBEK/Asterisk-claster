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раметры и допущения" sheetId="1" state="visible" r:id="rId1"/>
    <sheet name="План рабо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sz val="10"/>
    </font>
    <font>
      <name val="Arial"/>
      <sz val="10"/>
    </font>
    <font>
      <name val="Arial"/>
      <b val="1"/>
      <sz val="11"/>
    </font>
    <font>
      <name val="Arial"/>
      <i val="1"/>
      <sz val="9"/>
    </font>
    <font>
      <name val="Calibri"/>
      <b val="1"/>
      <sz val="12"/>
    </font>
    <font>
      <name val="Calibri"/>
      <b val="1"/>
      <sz val="10"/>
    </font>
    <font>
      <name val="Calibri"/>
      <b val="1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DDEBF7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4" borderId="1" pivotButton="0" quotePrefix="0" xfId="0"/>
    <xf numFmtId="0" fontId="0" fillId="4" borderId="1" pivotButton="0" quotePrefix="0" xfId="0"/>
    <xf numFmtId="0" fontId="4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9" fillId="0" borderId="0" applyAlignment="1" pivotButton="0" quotePrefix="0" xfId="0">
      <alignment horizontal="center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/>
    </xf>
    <xf numFmtId="0" fontId="7" fillId="3" borderId="1" pivotButton="0" quotePrefix="0" xfId="0"/>
    <xf numFmtId="0" fontId="7" fillId="3" borderId="1" applyAlignment="1" pivotButton="0" quotePrefix="0" xfId="0">
      <alignment vertical="center"/>
    </xf>
    <xf numFmtId="0" fontId="9" fillId="0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165" fontId="9" fillId="0" borderId="1" applyAlignment="1" pivotButton="0" quotePrefix="0" xfId="0">
      <alignment vertical="top" wrapText="1"/>
    </xf>
    <xf numFmtId="3" fontId="9" fillId="0" borderId="1" applyAlignment="1" pivotButton="0" quotePrefix="0" xfId="0">
      <alignment vertical="top" wrapText="1"/>
    </xf>
    <xf numFmtId="0" fontId="0" fillId="5" borderId="1" pivotButton="0" quotePrefix="0" xfId="0"/>
    <xf numFmtId="0" fontId="10" fillId="6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 indent="2"/>
    </xf>
    <xf numFmtId="0" fontId="10" fillId="0" borderId="1" applyAlignment="1" pivotButton="0" quotePrefix="0" xfId="0">
      <alignment vertical="top" wrapText="1"/>
    </xf>
    <xf numFmtId="165" fontId="10" fillId="0" borderId="1" applyAlignment="1" pivotButton="0" quotePrefix="0" xfId="0">
      <alignment vertical="top" wrapText="1"/>
    </xf>
    <xf numFmtId="0" fontId="7" fillId="2" borderId="1" pivotButton="0" quotePrefix="0" xfId="0"/>
    <xf numFmtId="3" fontId="7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96" customWidth="1" min="3" max="3"/>
  </cols>
  <sheetData>
    <row r="1">
      <c r="A1" s="1" t="inlineStr">
        <is>
          <t>Централизованная телефония на Asterisk: центр в московском ЦОД, выносы по городам</t>
        </is>
      </c>
    </row>
    <row r="2">
      <c r="A2" s="2" t="inlineStr">
        <is>
          <t>Параметры расчёта. Все прочие листы считают от этих значений — меняйте здесь, а не в самом плане.</t>
        </is>
      </c>
    </row>
    <row r="4" ht="18" customHeight="1">
      <c r="A4" s="3" t="inlineStr">
        <is>
          <t>Показатель</t>
        </is>
      </c>
      <c r="B4" s="3" t="inlineStr">
        <is>
          <t>Значение</t>
        </is>
      </c>
      <c r="C4" s="3" t="inlineStr">
        <is>
          <t>Откуда взято</t>
        </is>
      </c>
    </row>
    <row r="5">
      <c r="A5" s="4" t="inlineStr">
        <is>
          <t>ОСНОВАНИЕ</t>
        </is>
      </c>
      <c r="B5" s="4" t="inlineStr">
        <is>
          <t>протокол совещания, п. 3</t>
        </is>
      </c>
      <c r="C5" s="4" t="inlineStr">
        <is>
          <t>«Обсудили верхнеуровневую архитектуру, решили строить централизованную на Asterisk с выносами в кластерах. По плану первый этап все за исключением Воронежа, далее Воронеж.» Уточнение: центр размещается в московском ЦОД, на обеих площадках живые узлы; остальные узлы по городам.</t>
        </is>
      </c>
    </row>
    <row r="6">
      <c r="A6" s="5" t="inlineStr">
        <is>
          <t>Архитектура</t>
        </is>
      </c>
      <c r="B6" s="5" t="inlineStr">
        <is>
          <t>центр в ЦОД + выносы</t>
        </is>
      </c>
      <c r="C6" s="5" t="inlineStr">
        <is>
          <t>Центр — московский ЦОД: ДВА ЖИВЫХ УЗЛА в разных залах. Оба обслуживают вызовы, московские 80 абонентов поделены поровну и прописаны друг другу резервными. Панель управления FreePBX включена только на ЦОД-1. Выносы — Ростов, Ставрополь, Нижний Новгород, Славянск-на-Кубани, Воронеж — работают узлами того же кластера: локальная регистрация телефонов и свой выход в город, при отказе площадки телефоны уходят в ЦОД.</t>
        </is>
      </c>
    </row>
    <row r="7">
      <c r="A7" s="5" t="inlineStr">
        <is>
          <t>Стойки в ЦОД</t>
        </is>
      </c>
      <c r="B7" s="5" t="inlineStr">
        <is>
          <t>наши, залы независимы</t>
        </is>
      </c>
      <c r="C7" s="5" t="inlineStr">
        <is>
          <t>Два узла в ЦОД действительно резервируют друг друга, а не стоят за одним вводом питания. Это условие, без которого схема резервирования не имела бы смысла.</t>
        </is>
      </c>
    </row>
    <row r="8">
      <c r="A8" s="5" t="inlineStr">
        <is>
          <t>Ждать никого не нужно</t>
        </is>
      </c>
      <c r="B8" s="5" t="inlineStr">
        <is>
          <t>да</t>
        </is>
      </c>
      <c r="C8" s="5" t="inlineStr">
        <is>
          <t>Площадки наши, адреса известны, стойки в ЦОД наши, SIP-пользователей ВАТС заводим сами, ПО бесплатное, машины на своей виртуализации. Закупок и внешних согласований в плане нет. Практический вывод: если график поедет, причина будет внутренней — не хватило людей, не согласовали окно, не успели с перенумерацией.</t>
        </is>
      </c>
    </row>
    <row r="9">
      <c r="A9" s="5" t="inlineStr">
        <is>
          <t>Дата начала работ</t>
        </is>
      </c>
      <c r="B9" s="6" t="n">
        <v>46272</v>
      </c>
      <c r="C9" s="5" t="inlineStr">
        <is>
          <t>ДОПУЩЕНИЕ. Понедельник. Отсчёт идёт от старта работ, то есть от стадии «проект открыт». Стадии 0–4 воронки плана автоматизации (постановка задачи, оценка, согласование карточки, ВЕ, приказа) в эти 15 недель не входят и идут до них.</t>
        </is>
      </c>
    </row>
    <row r="10">
      <c r="A10" s="5" t="inlineStr">
        <is>
          <t>Длительность, недель</t>
        </is>
      </c>
      <c r="B10" s="5" t="n">
        <v>16</v>
      </c>
      <c r="C10" s="5" t="inlineStr">
        <is>
          <t>Два этапа подряд: 11 недель без Воронежа + 4 недели Воронеж. Этапы последовательны по решению совещания, совмещать нельзя.</t>
        </is>
      </c>
    </row>
    <row r="11">
      <c r="A11" s="5" t="inlineStr">
        <is>
          <t>Дата завершения работ</t>
        </is>
      </c>
      <c r="B11" s="6" t="n">
        <v>46381</v>
      </c>
      <c r="C11" s="5" t="inlineStr">
        <is>
          <t>Дата начала + 15 недель, последний рабочий день</t>
        </is>
      </c>
    </row>
    <row r="12">
      <c r="A12" s="4" t="inlineStr">
        <is>
          <t>ЭТАП 1 — центр в ЦОД + все выносы, кроме Воронежа</t>
        </is>
      </c>
      <c r="B12" s="4" t="inlineStr">
        <is>
          <t>недели 1–12, 810 абонентов</t>
        </is>
      </c>
      <c r="C12" s="4" t="inlineStr">
        <is>
          <t>ЦОД-1 40 и ЦОД-2 40, Ростов 352, Ставрополь 74, Нижний Новгород 164, Славянск-на-Кубани 140.</t>
        </is>
      </c>
    </row>
    <row r="13">
      <c r="A13" s="4" t="inlineStr">
        <is>
          <t>ЭТАП 2 — Воронеж</t>
        </is>
      </c>
      <c r="B13" s="4" t="inlineStr">
        <is>
          <t>недели 13–16, 445 абонентов</t>
        </is>
      </c>
      <c r="C13" s="4" t="inlineStr">
        <is>
          <t>Воронеж 229, Мясокомбинат 187, Калуга 29.</t>
        </is>
      </c>
    </row>
    <row r="14">
      <c r="A14" s="5" t="inlineStr">
        <is>
          <t>Ставрополь получает свою АТС</t>
        </is>
      </c>
      <c r="B14" s="5" t="inlineStr">
        <is>
          <t>да, задача 8.2</t>
        </is>
      </c>
      <c r="C14" s="5" t="inlineStr">
        <is>
          <t>Раньше его 74 абонента висели на ростовском сервере и зависели от канала до Ростова. Своя АТС даёт им локальную живучесть и попутно делает число узлов нечётным.</t>
        </is>
      </c>
    </row>
    <row r="15">
      <c r="A15" s="5" t="inlineStr">
        <is>
          <t>Порядок переноса центра</t>
        </is>
      </c>
      <c r="B15" s="5" t="inlineStr">
        <is>
          <t>Ростов → ЦОД-1 → +ЦОД-2</t>
        </is>
      </c>
      <c r="C15" s="5" t="inlineStr">
        <is>
          <t>Вся боевая база сейчас на ростовской АТС. Сначала она вводится в кластер как первый узел (задача 4), затем клонируется в ЦОД-1 и роль мастера передаётся туда, затем ЦОД-1 клонируется в ЦОД-2 (задача 5). Ростов после этого — обычный вынос со своими 352 абонентами. Переустановки нет ни на одном шаге, откат — возврат роли на Ростов.</t>
        </is>
      </c>
    </row>
    <row r="16">
      <c r="A16" s="5" t="inlineStr">
        <is>
          <t>Пилотный вынос</t>
        </is>
      </c>
      <c r="B16" s="5" t="inlineStr">
        <is>
          <t>Ставрополь</t>
        </is>
      </c>
      <c r="C16" s="5" t="inlineStr">
        <is>
          <t>Порядок ввода выносов: Ставрополь (пилот), затем Нижний Новгород, затем Славянск-на-Кубани. ВАЖНО ПОНИМАТЬ: у Ставрополя нет своей станции — его 74 абонента уже в общей базе, поэтому пилот проверяет кластер, каналы и провижининг, но НЕ проверяет перенос действующей АТС с её гашением. Эта часть процедуры впервые отрабатывается на Нижнем Новгороде (задача 8.1) — её стоит пройти с тем же вниманием, что и пилот.</t>
        </is>
      </c>
    </row>
    <row r="17">
      <c r="A17" s="5" t="inlineStr">
        <is>
          <t>Оповещение техподдержки</t>
        </is>
      </c>
      <c r="B17" s="5" t="inlineStr">
        <is>
          <t>задача 3</t>
        </is>
      </c>
      <c r="C17" s="5" t="inlineStr">
        <is>
          <t>До начала работ согласован порядок: кто и по какому каналу поднимается по тревоге, за какое время и что считается инцидентом. Порядок роздан всем участникам работ — иначе в первую же нештатную ситуацию искать будет некого.</t>
        </is>
      </c>
    </row>
    <row r="18">
      <c r="A18" s="4" t="inlineStr">
        <is>
          <t>КОМАНДА ПРОЕКТА</t>
        </is>
      </c>
      <c r="B18" s="4" t="inlineStr">
        <is>
          <t>четыре человека</t>
        </is>
      </c>
      <c r="C18" s="4" t="inlineStr"/>
    </row>
    <row r="19">
      <c r="A19" s="5" t="inlineStr">
        <is>
          <t xml:space="preserve">  Руководитель</t>
        </is>
      </c>
      <c r="B19" s="5" t="inlineStr">
        <is>
          <t>Савенко В.</t>
        </is>
      </c>
      <c r="C19" s="5" t="inlineStr">
        <is>
          <t>Главный по проекту, указан заказчиком во всех строках плана.</t>
        </is>
      </c>
    </row>
    <row r="20">
      <c r="A20" s="5" t="inlineStr">
        <is>
          <t xml:space="preserve">  Основной исполнитель</t>
        </is>
      </c>
      <c r="B20" s="5" t="inlineStr">
        <is>
          <t>Цеховской В.</t>
        </is>
      </c>
      <c r="C20" s="5" t="inlineStr">
        <is>
          <t>Инженер кластера. Задачи 1–9 и 12 — вся работа с кластером, переносом центра и вводом выносов.</t>
        </is>
      </c>
    </row>
    <row r="21">
      <c r="A21" s="5" t="inlineStr">
        <is>
          <t xml:space="preserve">  Помощник</t>
        </is>
      </c>
      <c r="B21" s="5" t="inlineStr">
        <is>
          <t>Кириевская Е.</t>
        </is>
      </c>
      <c r="C21" s="5" t="inlineStr">
        <is>
          <t>Задачи 10, 11, 13, 14 — консолидация мелких АТС и перенумерация. Частичная занятость, идут параллельно основным работам.</t>
        </is>
      </c>
    </row>
    <row r="22">
      <c r="A22" s="5" t="inlineStr">
        <is>
          <t xml:space="preserve">  Развёртывание и адресация</t>
        </is>
      </c>
      <c r="B22" s="5" t="inlineStr">
        <is>
          <t>Дулепов А.</t>
        </is>
      </c>
      <c r="C22" s="5" t="inlineStr">
        <is>
          <t>Создание клонов, установка и присвоение IP-адресов на площадках. Проставлен исполнителем в соответствующих подзадачах.</t>
        </is>
      </c>
    </row>
    <row r="23">
      <c r="A23" s="5" t="inlineStr">
        <is>
          <t>Трудозатраты всего, ч-д</t>
        </is>
      </c>
      <c r="B23" s="5" t="n">
        <v>100</v>
      </c>
      <c r="C23" s="5" t="inlineStr">
        <is>
          <t>Сумма по задачам, см. лист плана</t>
        </is>
      </c>
    </row>
    <row r="24">
      <c r="A24" s="5" t="inlineStr">
        <is>
          <t xml:space="preserve">  в том числе инженер кластера</t>
        </is>
      </c>
      <c r="B24" s="5" t="n">
        <v>70</v>
      </c>
      <c r="C24" s="5" t="inlineStr">
        <is>
          <t>Задачи 1–7 и 10. Помещается в 15 недель × 5 дней = 75 ч-д одного человека.</t>
        </is>
      </c>
    </row>
    <row r="25">
      <c r="A25" s="5" t="inlineStr">
        <is>
          <t xml:space="preserve">  в том числе второй исполнитель</t>
        </is>
      </c>
      <c r="B25" s="5" t="n">
        <v>30</v>
      </c>
      <c r="C25" s="5" t="inlineStr">
        <is>
          <t>Задачи 8, 9, 11, 12 — консолидация мелких АТС и перенумерация. Работа организационная, идёт параллельно силами второго человека с частичной занятостью. Одним инженером весь объём в срок не выполняется — это ограничение плана, а не оценка.</t>
        </is>
      </c>
    </row>
    <row r="26">
      <c r="A26" s="5" t="inlineStr">
        <is>
          <t>Внутренняя ставка, ₽/ч-д</t>
        </is>
      </c>
      <c r="B26" s="5" t="n">
        <v>11515</v>
      </c>
      <c r="C26" s="5" t="inlineStr">
        <is>
          <t>Из формулы =11515*M4 в файле «План работ ДИТ 2023.xlsx», колонка «Плановая себестоимость внутренних затрат».</t>
        </is>
      </c>
    </row>
    <row r="27">
      <c r="A27" s="5" t="inlineStr">
        <is>
          <t>Плановая себестоимость внутренних затрат, ₽ без НДС</t>
        </is>
      </c>
      <c r="B27" s="7">
        <f>B23*B26</f>
        <v>1151500</v>
      </c>
      <c r="C27" s="5" t="inlineStr">
        <is>
          <t>Трудозатраты × ставка, рассчитывается формулой</t>
        </is>
      </c>
    </row>
    <row r="28">
      <c r="A28" s="5" t="inlineStr">
        <is>
          <t>Плановая себестоимость внешних затрат, ₽ без НДС</t>
        </is>
      </c>
      <c r="B28" s="7" t="n">
        <v>0</v>
      </c>
      <c r="C28" s="5" t="inlineStr">
        <is>
          <t>Всё программное обеспечение бесплатное: MariaDB Galera, Asterisk, FreePBX, OSS PBX End Point Manager. Все узлы — свои виртуальные машины, закупки нет.</t>
        </is>
      </c>
    </row>
    <row r="29">
      <c r="A29" s="5" t="inlineStr">
        <is>
          <t>Абонентов в периметре</t>
        </is>
      </c>
      <c r="B29" s="5" t="n">
        <v>1255</v>
      </c>
      <c r="C29" s="5" t="inlineStr">
        <is>
          <t>Аудит 12 станций, docs/plan/numbering-plan.csv</t>
        </is>
      </c>
    </row>
    <row r="30">
      <c r="A30" s="5" t="inlineStr">
        <is>
          <t>Станций сейчас</t>
        </is>
      </c>
      <c r="B30" s="5" t="n">
        <v>12</v>
      </c>
      <c r="C30" s="5" t="inlineStr">
        <is>
          <t>Там же</t>
        </is>
      </c>
    </row>
    <row r="31">
      <c r="A31" s="5" t="inlineStr">
        <is>
          <t>Узлов кластера после внедрения</t>
        </is>
      </c>
      <c r="B31" s="5" t="n">
        <v>7</v>
      </c>
      <c r="C31" s="5" t="inlineStr">
        <is>
          <t>ЦОД-1 40 и ЦОД-2 40 (оба живые), Ростов 352, Ставрополь 74, Нижний Новгород 164, Славянск-на-Кубани 140, Воронеж 445. Итого 1255 — сходится с аудитом.</t>
        </is>
      </c>
    </row>
    <row r="32">
      <c r="A32" s="5" t="inlineStr">
        <is>
          <t>Голосов в кворуме</t>
        </is>
      </c>
      <c r="B32" s="5" t="n">
        <v>7</v>
      </c>
      <c r="C32" s="5" t="inlineStr">
        <is>
          <t>Семь узлов — число НЕЧЁТНОЕ, поэтому арбитр не нужен вообще. Кластер переживает потерю трёх узлов и остаётся работоспособным при потере московского ЦОД целиком: у городов остаётся 5 голосов из 7.</t>
        </is>
      </c>
    </row>
    <row r="33">
      <c r="A33" s="5" t="inlineStr">
        <is>
          <t>Арбитр garbd</t>
        </is>
      </c>
      <c r="B33" s="5" t="inlineStr">
        <is>
          <t>не нужен</t>
        </is>
      </c>
      <c r="C33" s="5" t="inlineStr">
        <is>
          <t>В прежней версии плана Ставрополь оставался на ростовском сервере, узлов было шесть, и чётность приходилось добирать арбитром. Собственная АТС в Ставрополе делает число нечётным — та же виртуальная машина вместо бесполезного голоса несёт 74 абонента.</t>
        </is>
      </c>
    </row>
    <row r="34">
      <c r="A34" s="5" t="inlineStr">
        <is>
          <t>Кворум в конце этапа 1</t>
        </is>
      </c>
      <c r="B34" s="5" t="n">
        <v>6</v>
      </c>
      <c r="C34" s="5" t="inlineStr">
        <is>
          <t>ВНИМАНИЕ. Без Воронежа узлов шесть — число чётное. Держится недели 11–12, закрывается вводом Воронежа. Если даже две недели такого состояния неприемлемы, на этот период ставится временный арбитр garbd.</t>
        </is>
      </c>
    </row>
    <row r="35">
      <c r="A35" s="5" t="inlineStr">
        <is>
          <t>Виртуальных машин добавить</t>
        </is>
      </c>
      <c r="B35" s="5" t="n">
        <v>3</v>
      </c>
      <c r="C35" s="5" t="inlineStr">
        <is>
          <t>ЦОД-1, ЦОД-2 и Ставрополь. Все — свои мощности, закупки нет. У четырёх остальных площадок машины уже есть.</t>
        </is>
      </c>
    </row>
    <row r="36">
      <c r="A36" s="5" t="inlineStr">
        <is>
          <t>Размещение ВМ по хостам</t>
        </is>
      </c>
      <c r="B36" s="5" t="inlineStr">
        <is>
          <t>проверить</t>
        </is>
      </c>
      <c r="C36" s="5" t="inlineStr">
        <is>
          <t>КРИТИЧНО. Узлы обязаны стоять на разных физических хостах: пять ВМ на одном гипервизоре — это не отказоустойчивый кластер, а пять копий одной точки отказа. Проверяется на этапе 1 до ввода второго узла.</t>
        </is>
      </c>
    </row>
    <row r="37">
      <c r="A37" s="5" t="inlineStr">
        <is>
          <t>Снимки ВМ как резервная копия</t>
        </is>
      </c>
      <c r="B37" s="5" t="inlineStr">
        <is>
          <t>нельзя</t>
        </is>
      </c>
      <c r="C37" s="5" t="inlineStr">
        <is>
          <t>Откат узла на снимок возвращает его с устаревшим seqno. Такой узел вводится обратно только через prepare-clone.sh --full-resync. Резервные копии снимаются на уровне базы (mysqldump), а не гипервизора.</t>
        </is>
      </c>
    </row>
    <row r="38">
      <c r="A38" s="5" t="inlineStr">
        <is>
          <t>Оба узла ЦОД — живые</t>
        </is>
      </c>
      <c r="B38" s="5" t="inlineStr">
        <is>
          <t>да</t>
        </is>
      </c>
      <c r="C38" s="5" t="inlineStr">
        <is>
          <t>ЦОД-2 не пассивная копия: он несёт вызовы наравне с ЦОД-1. Резерв, который никогда не берёт нагрузку, не проверен — поэтому 80 московских абонентов делятся по 40 на зал, и каждый зал прописан другому резервным. Отказ зала проверяется реальным трафиком, а не инструкцией.</t>
        </is>
      </c>
    </row>
    <row r="39">
      <c r="A39" s="5" t="inlineStr">
        <is>
          <t>Панель управления FreePBX</t>
        </is>
      </c>
      <c r="B39" s="5" t="inlineStr">
        <is>
          <t>ровно на одном узле</t>
        </is>
      </c>
      <c r="C39" s="5" t="inlineStr">
        <is>
          <t>Живой Asterisk — не второй FreePBX. Две включённые панели пишут в общую базу наперегонки. На ЦОД-2 FreePBX установлен (он клон) и выключен — включается за минуты. Переключение отрабатывается учебно в задаче 8.</t>
        </is>
      </c>
    </row>
    <row r="40">
      <c r="A40" s="5" t="inlineStr">
        <is>
          <t>Неделя 16 — предновогодняя</t>
        </is>
      </c>
      <c r="B40" s="5" t="inlineStr">
        <is>
          <t>21–25 декабря</t>
        </is>
      </c>
      <c r="C40" s="5" t="inlineStr">
        <is>
          <t>ВНИМАНИЕ. На эту неделю приходится завершение перенумерации Воронежа. Люди в отпусках, проверять изменения некому. Либо старт сдвигается на неделю раньше, либо задача 13 переносится на январь.</t>
        </is>
      </c>
    </row>
    <row r="42">
      <c r="A42" s="8" t="inlineStr">
        <is>
          <t>Что нужно заполнить вручную</t>
        </is>
      </c>
    </row>
    <row r="43">
      <c r="A43" s="9" t="inlineStr">
        <is>
          <t>Номер приказа / внутреннего проекта</t>
        </is>
      </c>
      <c r="B43" s="10" t="n"/>
      <c r="C43" s="11" t="inlineStr">
        <is>
          <t>Присваивается при открытии проекта.</t>
        </is>
      </c>
    </row>
    <row r="44">
      <c r="A44" s="9" t="inlineStr">
        <is>
          <t>Дата протокола совещания</t>
        </is>
      </c>
      <c r="B44" s="10" t="n"/>
      <c r="C44" s="11" t="inlineStr">
        <is>
          <t>Проставить дату документа, из которого взята этапность.</t>
        </is>
      </c>
    </row>
    <row r="45">
      <c r="A45" s="9" t="inlineStr">
        <is>
          <t>Адресный план узлов</t>
        </is>
      </c>
      <c r="B45" s="10" t="n"/>
      <c r="C45" s="11" t="inlineStr">
        <is>
          <t>Проставить IP семи узлов: ЦОД-1, ЦОД-2, Ростов, Ставрополь, Нижний Новгород, Славянск-на-Кубани, Воронеж.</t>
        </is>
      </c>
    </row>
    <row r="47">
      <c r="A47" s="12" t="inlineStr">
        <is>
          <t>Жёлтой заливкой отмечены ячейки, которые заполняются вручную.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7" customWidth="1" min="1" max="1"/>
    <col width="44" customWidth="1" min="2" max="2"/>
    <col width="17" customWidth="1" min="3" max="3"/>
    <col width="16.6" customWidth="1" min="4" max="4"/>
    <col width="12.7" customWidth="1" min="5" max="5"/>
    <col width="12.4" customWidth="1" min="6" max="6"/>
    <col width="14.6" customWidth="1" min="7" max="7"/>
    <col width="14.3" customWidth="1" min="8" max="8"/>
    <col width="42" customWidth="1" min="9" max="9"/>
    <col width="42" customWidth="1" min="10" max="10"/>
    <col width="17.1" customWidth="1" min="11" max="11"/>
    <col width="14" customWidth="1" min="12" max="12"/>
    <col width="8.5" customWidth="1" min="13" max="13"/>
    <col width="16.3" customWidth="1" min="14" max="14"/>
    <col width="15.6" customWidth="1" min="15" max="15"/>
    <col width="6.6" customWidth="1" min="16" max="16"/>
    <col width="6.6" customWidth="1" min="17" max="17"/>
    <col width="6.6" customWidth="1" min="18" max="18"/>
    <col width="6.6" customWidth="1" min="19" max="19"/>
    <col width="6.6" customWidth="1" min="20" max="20"/>
    <col width="6.6" customWidth="1" min="21" max="21"/>
    <col width="6.6" customWidth="1" min="22" max="22"/>
    <col width="6.6" customWidth="1" min="23" max="23"/>
    <col width="6.6" customWidth="1" min="24" max="24"/>
    <col width="6.6" customWidth="1" min="25" max="25"/>
    <col width="6.6" customWidth="1" min="26" max="26"/>
    <col width="6.6" customWidth="1" min="27" max="27"/>
    <col width="6.6" customWidth="1" min="28" max="28"/>
    <col width="6.6" customWidth="1" min="29" max="29"/>
    <col width="6.6" customWidth="1" min="30" max="30"/>
    <col width="6.6" customWidth="1" min="31" max="31"/>
  </cols>
  <sheetData>
    <row r="1">
      <c r="B1" s="13" t="inlineStr">
        <is>
          <t>Централизованная телефония на Asterisk: центр в московском ЦОД (два зала), выносы — Ростов, Ставрополь, Нижний Новгород, Славянск-на-Кубани, Воронеж</t>
        </is>
      </c>
      <c r="P1" s="14" t="inlineStr">
        <is>
          <t>Сентябрь 2026</t>
        </is>
      </c>
      <c r="T1" s="14" t="inlineStr">
        <is>
          <t>Октябрь 2026</t>
        </is>
      </c>
      <c r="X1" s="14" t="inlineStr">
        <is>
          <t>Ноябрь 2026</t>
        </is>
      </c>
      <c r="AC1" s="14" t="inlineStr">
        <is>
          <t>Декабрь 2026</t>
        </is>
      </c>
    </row>
    <row r="2" ht="46" customHeight="1">
      <c r="A2" s="15" t="inlineStr">
        <is>
          <t>№</t>
        </is>
      </c>
      <c r="B2" s="15" t="inlineStr">
        <is>
          <t>Название задачи</t>
        </is>
      </c>
      <c r="C2" s="15" t="inlineStr">
        <is>
          <t>Категория активности</t>
        </is>
      </c>
      <c r="D2" s="15" t="inlineStr">
        <is>
          <t>Программа</t>
        </is>
      </c>
      <c r="E2" s="15" t="inlineStr">
        <is>
          <t>Заказчик</t>
        </is>
      </c>
      <c r="F2" s="15" t="inlineStr">
        <is>
          <t>Плановые сроки начала</t>
        </is>
      </c>
      <c r="G2" s="15" t="inlineStr">
        <is>
          <t>Плановые сроки завершения</t>
        </is>
      </c>
      <c r="H2" s="15" t="inlineStr">
        <is>
          <t>Фактические/прогнозные сроки завершения</t>
        </is>
      </c>
      <c r="I2" s="15" t="inlineStr">
        <is>
          <t>Проблема</t>
        </is>
      </c>
      <c r="J2" s="15" t="inlineStr">
        <is>
          <t>Результат</t>
        </is>
      </c>
      <c r="K2" s="15" t="inlineStr">
        <is>
          <t>Исполнитель</t>
        </is>
      </c>
      <c r="L2" s="15" t="inlineStr">
        <is>
          <t>Статус</t>
        </is>
      </c>
      <c r="M2" s="15" t="inlineStr">
        <is>
          <t>ТРЗ, ч/д</t>
        </is>
      </c>
      <c r="N2" s="15" t="inlineStr">
        <is>
          <t>Плановая себестоимость внутренних затрат (ТРЗ), руб. без НДС</t>
        </is>
      </c>
      <c r="O2" s="15" t="inlineStr">
        <is>
          <t>Плановая себестоимость внешних затрат, руб. без НДС</t>
        </is>
      </c>
      <c r="P2" s="16" t="inlineStr">
        <is>
          <t>07-13</t>
        </is>
      </c>
      <c r="Q2" s="16" t="inlineStr">
        <is>
          <t>14-20</t>
        </is>
      </c>
      <c r="R2" s="16" t="inlineStr">
        <is>
          <t>21-27</t>
        </is>
      </c>
      <c r="S2" s="16" t="inlineStr">
        <is>
          <t>28-04</t>
        </is>
      </c>
      <c r="T2" s="16" t="inlineStr">
        <is>
          <t>05-11</t>
        </is>
      </c>
      <c r="U2" s="16" t="inlineStr">
        <is>
          <t>12-18</t>
        </is>
      </c>
      <c r="V2" s="16" t="inlineStr">
        <is>
          <t>19-25</t>
        </is>
      </c>
      <c r="W2" s="16" t="inlineStr">
        <is>
          <t>26-01</t>
        </is>
      </c>
      <c r="X2" s="16" t="inlineStr">
        <is>
          <t>02-08</t>
        </is>
      </c>
      <c r="Y2" s="16" t="inlineStr">
        <is>
          <t>09-15</t>
        </is>
      </c>
      <c r="Z2" s="16" t="inlineStr">
        <is>
          <t>16-22</t>
        </is>
      </c>
      <c r="AA2" s="16" t="inlineStr">
        <is>
          <t>23-29</t>
        </is>
      </c>
      <c r="AB2" s="16" t="inlineStr">
        <is>
          <t>30-06</t>
        </is>
      </c>
      <c r="AC2" s="16" t="inlineStr">
        <is>
          <t>07-13</t>
        </is>
      </c>
      <c r="AD2" s="16" t="inlineStr">
        <is>
          <t>14-20</t>
        </is>
      </c>
      <c r="AE2" s="16" t="inlineStr">
        <is>
          <t>21-27</t>
        </is>
      </c>
    </row>
    <row r="3" ht="20" customHeight="1">
      <c r="A3" s="17" t="n"/>
      <c r="B3" s="18" t="inlineStr">
        <is>
          <t>ЭТАП 1 — центр в московском ЦОД и все выносы, кроме Воронежа (недели 1–12, 810 абонентов)</t>
        </is>
      </c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</row>
    <row r="4">
      <c r="A4" s="19" t="inlineStr">
        <is>
          <t>1</t>
        </is>
      </c>
      <c r="B4" s="19" t="inlineStr">
        <is>
          <t>Подготовка: ЦОД, сеть, виртуальные машины, договорённости с операторами</t>
        </is>
      </c>
      <c r="C4" s="19" t="inlineStr">
        <is>
          <t>развитие</t>
        </is>
      </c>
      <c r="D4" s="19" t="inlineStr">
        <is>
          <t>Инфраструктура</t>
        </is>
      </c>
      <c r="E4" s="20" t="inlineStr">
        <is>
          <t>Савенко В.</t>
        </is>
      </c>
      <c r="F4" s="21">
        <f>'Параметры и допущения'!$B$9+0</f>
        <v>46272</v>
      </c>
      <c r="G4" s="21">
        <f>'Параметры и допущения'!$B$9+11</f>
        <v>46283</v>
      </c>
      <c r="H4" s="21">
        <f>G4</f>
        <v>46283</v>
      </c>
      <c r="I4" s="19" t="inlineStr">
        <is>
          <t>Площадки не связаны между собой сетью; в ЦОД не выделены машины под центральные узлы; у площадок нет отдельных учётных записей SIP для выхода в город</t>
        </is>
      </c>
      <c r="J4" s="19" t="inlineStr">
        <is>
          <t>VPN между ЦОД и всеми городами поднят, RTT измерен, в ЦОД выделены две ВМ в разных стойках, у каждой площадки заведён свой SIP-пользователь ВАТС</t>
        </is>
      </c>
      <c r="K4" s="19" t="inlineStr">
        <is>
          <t>Цеховской В.</t>
        </is>
      </c>
      <c r="L4" s="19" t="inlineStr">
        <is>
          <t>планируется</t>
        </is>
      </c>
      <c r="M4" s="19" t="n">
        <v>8</v>
      </c>
      <c r="N4" s="22">
        <f>'Параметры и допущения'!$B$26*M4</f>
        <v>92120</v>
      </c>
      <c r="O4" s="22" t="n">
        <v>0</v>
      </c>
      <c r="P4" s="23" t="n"/>
      <c r="Q4" s="23" t="n"/>
    </row>
    <row r="5">
      <c r="A5" s="24" t="inlineStr">
        <is>
          <t>1.1</t>
        </is>
      </c>
      <c r="B5" s="25" t="inlineStr">
        <is>
          <t>Утвердить единый план нумерации, разослать сотрудникам новые номера</t>
        </is>
      </c>
      <c r="C5" s="26" t="n"/>
      <c r="D5" s="26" t="n"/>
      <c r="E5" s="26" t="n"/>
      <c r="F5" s="27">
        <f>'Параметры и допущения'!$B$9+0</f>
        <v>46272</v>
      </c>
      <c r="G5" s="27">
        <f>'Параметры и допущения'!$B$9+4</f>
        <v>46276</v>
      </c>
      <c r="H5" s="26" t="n"/>
      <c r="I5" s="26" t="n"/>
      <c r="J5" s="26" t="inlineStr">
        <is>
          <t>План нумерации утверждён, уведомления разосланы</t>
        </is>
      </c>
      <c r="K5" s="26" t="inlineStr">
        <is>
          <t>Цеховской В.</t>
        </is>
      </c>
      <c r="L5" s="26" t="inlineStr">
        <is>
          <t>планируется</t>
        </is>
      </c>
      <c r="M5" s="26" t="n">
        <v>1</v>
      </c>
      <c r="N5" s="26" t="n"/>
      <c r="O5" s="26" t="n"/>
      <c r="P5" s="23" t="n"/>
    </row>
    <row r="6">
      <c r="A6" s="24" t="inlineStr">
        <is>
          <t>1.2</t>
        </is>
      </c>
      <c r="B6" s="25" t="inlineStr">
        <is>
          <t>Организовать site-to-site VPN: ЦОД — города</t>
        </is>
      </c>
      <c r="C6" s="26" t="n"/>
      <c r="D6" s="26" t="n"/>
      <c r="E6" s="26" t="n"/>
      <c r="F6" s="27">
        <f>'Параметры и допущения'!$B$9+0</f>
        <v>46272</v>
      </c>
      <c r="G6" s="27">
        <f>'Параметры и допущения'!$B$9+11</f>
        <v>46283</v>
      </c>
      <c r="H6" s="26" t="n"/>
      <c r="I6" s="26" t="n"/>
      <c r="J6" s="26" t="inlineStr">
        <is>
          <t>Сеть между ЦОД и всеми площадками работает</t>
        </is>
      </c>
      <c r="K6" s="26" t="inlineStr">
        <is>
          <t>Цеховской В.</t>
        </is>
      </c>
      <c r="L6" s="26" t="inlineStr">
        <is>
          <t>планируется</t>
        </is>
      </c>
      <c r="M6" s="26" t="n">
        <v>2</v>
      </c>
      <c r="N6" s="26" t="n"/>
      <c r="O6" s="26" t="n"/>
      <c r="P6" s="23" t="n"/>
      <c r="Q6" s="23" t="n"/>
    </row>
    <row r="7">
      <c r="A7" s="24" t="inlineStr">
        <is>
          <t>1.3</t>
        </is>
      </c>
      <c r="B7" s="25" t="inlineStr">
        <is>
          <t>Замерить RTT и потери: ЦОД — каждый город и между залами ЦОД</t>
        </is>
      </c>
      <c r="C7" s="26" t="n"/>
      <c r="D7" s="26" t="n"/>
      <c r="E7" s="26" t="n"/>
      <c r="F7" s="27">
        <f>'Параметры и допущения'!$B$9+7</f>
        <v>46279</v>
      </c>
      <c r="G7" s="27">
        <f>'Параметры и допущения'!$B$9+11</f>
        <v>46283</v>
      </c>
      <c r="H7" s="26" t="n"/>
      <c r="I7" s="26" t="n"/>
      <c r="J7" s="26" t="inlineStr">
        <is>
          <t>Замеры выполнены; площадки с RTT выше 50 мс исключены из синхронной репликации</t>
        </is>
      </c>
      <c r="K7" s="26" t="inlineStr">
        <is>
          <t>Цеховской В.</t>
        </is>
      </c>
      <c r="L7" s="26" t="inlineStr">
        <is>
          <t>планируется</t>
        </is>
      </c>
      <c r="M7" s="26" t="n">
        <v>1</v>
      </c>
      <c r="N7" s="26" t="n"/>
      <c r="O7" s="26" t="n"/>
      <c r="Q7" s="23" t="n"/>
    </row>
    <row r="8">
      <c r="A8" s="24" t="inlineStr">
        <is>
          <t>1.4</t>
        </is>
      </c>
      <c r="B8" s="25" t="inlineStr">
        <is>
          <t>Собрать адресный план на семь узлов</t>
        </is>
      </c>
      <c r="C8" s="26" t="n"/>
      <c r="D8" s="26" t="n"/>
      <c r="E8" s="26" t="n"/>
      <c r="F8" s="27">
        <f>'Параметры и допущения'!$B$9+0</f>
        <v>46272</v>
      </c>
      <c r="G8" s="27">
        <f>'Параметры и допущения'!$B$9+4</f>
        <v>46276</v>
      </c>
      <c r="H8" s="26" t="n"/>
      <c r="I8" s="26" t="n"/>
      <c r="J8" s="26" t="inlineStr">
        <is>
          <t>Адреса всех площадок известны, план зафиксирован</t>
        </is>
      </c>
      <c r="K8" s="26" t="inlineStr">
        <is>
          <t>Дулепов А.</t>
        </is>
      </c>
      <c r="L8" s="26" t="inlineStr">
        <is>
          <t>планируется</t>
        </is>
      </c>
      <c r="M8" s="26" t="n">
        <v>1</v>
      </c>
      <c r="N8" s="26" t="n"/>
      <c r="O8" s="26" t="n"/>
      <c r="P8" s="23" t="n"/>
    </row>
    <row r="9">
      <c r="A9" s="24" t="inlineStr">
        <is>
          <t>1.5</t>
        </is>
      </c>
      <c r="B9" s="25" t="inlineStr">
        <is>
          <t>Выделить три ВМ: две в ЦОД (разные стойки) и одну под Ставрополь</t>
        </is>
      </c>
      <c r="C9" s="26" t="n"/>
      <c r="D9" s="26" t="n"/>
      <c r="E9" s="26" t="n"/>
      <c r="F9" s="27">
        <f>'Параметры и допущения'!$B$9+0</f>
        <v>46272</v>
      </c>
      <c r="G9" s="27">
        <f>'Параметры и допущения'!$B$9+4</f>
        <v>46276</v>
      </c>
      <c r="H9" s="26" t="n"/>
      <c r="I9" s="26" t="n"/>
      <c r="J9" s="26" t="inlineStr">
        <is>
          <t>ВМ выделены, узлы разнесены по физическим хостам</t>
        </is>
      </c>
      <c r="K9" s="26" t="inlineStr">
        <is>
          <t>Дулепов А.</t>
        </is>
      </c>
      <c r="L9" s="26" t="inlineStr">
        <is>
          <t>планируется</t>
        </is>
      </c>
      <c r="M9" s="26" t="n">
        <v>1</v>
      </c>
      <c r="N9" s="26" t="n"/>
      <c r="O9" s="26" t="n"/>
      <c r="P9" s="23" t="n"/>
    </row>
    <row r="10">
      <c r="A10" s="24" t="inlineStr">
        <is>
          <t>1.6</t>
        </is>
      </c>
      <c r="B10" s="25" t="inlineStr">
        <is>
          <t>Завести SIP-пользователей ВАТС на каждую площадку</t>
        </is>
      </c>
      <c r="C10" s="26" t="n"/>
      <c r="D10" s="26" t="n"/>
      <c r="E10" s="26" t="n"/>
      <c r="F10" s="27">
        <f>'Параметры и допущения'!$B$9+0</f>
        <v>46272</v>
      </c>
      <c r="G10" s="27">
        <f>'Параметры и допущения'!$B$9+11</f>
        <v>46283</v>
      </c>
      <c r="H10" s="26" t="n"/>
      <c r="I10" s="26" t="n"/>
      <c r="J10" s="26" t="inlineStr">
        <is>
          <t>Учётные записи созданы на все площадки, включая Воронеж</t>
        </is>
      </c>
      <c r="K10" s="26" t="inlineStr">
        <is>
          <t>Цеховской В.</t>
        </is>
      </c>
      <c r="L10" s="26" t="inlineStr">
        <is>
          <t>планируется</t>
        </is>
      </c>
      <c r="M10" s="26" t="n">
        <v>2</v>
      </c>
      <c r="N10" s="26" t="n"/>
      <c r="O10" s="26" t="n"/>
      <c r="P10" s="23" t="n"/>
      <c r="Q10" s="23" t="n"/>
    </row>
    <row r="11">
      <c r="A11" s="19" t="inlineStr">
        <is>
          <t>2</t>
        </is>
      </c>
      <c r="B11" s="19" t="inlineStr">
        <is>
          <t>Смена учётных данных и защита периметра</t>
        </is>
      </c>
      <c r="C11" s="19" t="inlineStr">
        <is>
          <t>развитие</t>
        </is>
      </c>
      <c r="D11" s="19" t="inlineStr">
        <is>
          <t>Инфраструктура</t>
        </is>
      </c>
      <c r="E11" s="20" t="inlineStr">
        <is>
          <t>Савенко В.</t>
        </is>
      </c>
      <c r="F11" s="21">
        <f>'Параметры и допущения'!$B$9+0</f>
        <v>46272</v>
      </c>
      <c r="G11" s="21">
        <f>'Параметры и допущения'!$B$9+11</f>
        <v>46283</v>
      </c>
      <c r="H11" s="21">
        <f>G11</f>
        <v>46283</v>
      </c>
      <c r="I11" s="19" t="inlineStr">
        <is>
          <t>Учётные данные телефонии не менялись; журнал безопасности Asterisk не ведётся, подбор паролей не отслеживается</t>
        </is>
      </c>
      <c r="J11" s="19" t="inlineStr">
        <is>
          <t>Пароли 444 абонентов, транков, AMI и базы данных сменены; включён журнал безопасности и блокировка подбора; восстановление из резервной копии проверено</t>
        </is>
      </c>
      <c r="K11" s="19" t="inlineStr">
        <is>
          <t>Цеховской В.</t>
        </is>
      </c>
      <c r="L11" s="19" t="inlineStr">
        <is>
          <t>планируется</t>
        </is>
      </c>
      <c r="M11" s="19" t="n">
        <v>10</v>
      </c>
      <c r="N11" s="22">
        <f>'Параметры и допущения'!$B$26*M11</f>
        <v>115150</v>
      </c>
      <c r="O11" s="22" t="n">
        <v>0</v>
      </c>
      <c r="P11" s="23" t="n"/>
      <c r="Q11" s="23" t="n"/>
    </row>
    <row r="12">
      <c r="A12" s="24" t="inlineStr">
        <is>
          <t>2.1</t>
        </is>
      </c>
      <c r="B12" s="25" t="inlineStr">
        <is>
          <t>Включить журнал безопасности, fail2ban, ограничить доступ к AMI</t>
        </is>
      </c>
      <c r="C12" s="26" t="n"/>
      <c r="D12" s="26" t="n"/>
      <c r="E12" s="26" t="n"/>
      <c r="F12" s="27">
        <f>'Параметры и допущения'!$B$9+0</f>
        <v>46272</v>
      </c>
      <c r="G12" s="27">
        <f>'Параметры и допущения'!$B$9+4</f>
        <v>46276</v>
      </c>
      <c r="H12" s="26" t="n"/>
      <c r="I12" s="26" t="n"/>
      <c r="J12" s="26" t="inlineStr">
        <is>
          <t>Попытки подбора фиксируются и блокируются</t>
        </is>
      </c>
      <c r="K12" s="26" t="inlineStr">
        <is>
          <t>Цеховской В.</t>
        </is>
      </c>
      <c r="L12" s="26" t="inlineStr">
        <is>
          <t>планируется</t>
        </is>
      </c>
      <c r="M12" s="26" t="n">
        <v>2</v>
      </c>
      <c r="N12" s="26" t="n"/>
      <c r="O12" s="26" t="n"/>
      <c r="P12" s="23" t="n"/>
    </row>
    <row r="13">
      <c r="A13" s="24" t="inlineStr">
        <is>
          <t>2.2</t>
        </is>
      </c>
      <c r="B13" s="25" t="inlineStr">
        <is>
          <t>Задать порядок идентификации абонентов и перечень кодеков</t>
        </is>
      </c>
      <c r="C13" s="26" t="n"/>
      <c r="D13" s="26" t="n"/>
      <c r="E13" s="26" t="n"/>
      <c r="F13" s="27">
        <f>'Параметры и допущения'!$B$9+0</f>
        <v>46272</v>
      </c>
      <c r="G13" s="27">
        <f>'Параметры и допущения'!$B$9+4</f>
        <v>46276</v>
      </c>
      <c r="H13" s="26" t="n"/>
      <c r="I13" s="26" t="n"/>
      <c r="J13" s="26" t="inlineStr">
        <is>
          <t>Идентификация по учётной записи, alaw первым кодеком</t>
        </is>
      </c>
      <c r="K13" s="26" t="inlineStr">
        <is>
          <t>Цеховской В.</t>
        </is>
      </c>
      <c r="L13" s="26" t="inlineStr">
        <is>
          <t>планируется</t>
        </is>
      </c>
      <c r="M13" s="26" t="n">
        <v>1</v>
      </c>
      <c r="N13" s="26" t="n"/>
      <c r="O13" s="26" t="n"/>
      <c r="P13" s="23" t="n"/>
    </row>
    <row r="14">
      <c r="A14" s="24" t="inlineStr">
        <is>
          <t>2.3</t>
        </is>
      </c>
      <c r="B14" s="25" t="inlineStr">
        <is>
          <t>Сменить пароли 444 абонентов</t>
        </is>
      </c>
      <c r="C14" s="26" t="n"/>
      <c r="D14" s="26" t="n"/>
      <c r="E14" s="26" t="n"/>
      <c r="F14" s="27">
        <f>'Параметры и допущения'!$B$9+0</f>
        <v>46272</v>
      </c>
      <c r="G14" s="27">
        <f>'Параметры и допущения'!$B$9+11</f>
        <v>46283</v>
      </c>
      <c r="H14" s="26" t="n"/>
      <c r="I14" s="26" t="n"/>
      <c r="J14" s="26" t="inlineStr">
        <is>
          <t>Пароли сменены</t>
        </is>
      </c>
      <c r="K14" s="26" t="inlineStr">
        <is>
          <t>Цеховской В.</t>
        </is>
      </c>
      <c r="L14" s="26" t="inlineStr">
        <is>
          <t>планируется</t>
        </is>
      </c>
      <c r="M14" s="26" t="n">
        <v>3</v>
      </c>
      <c r="N14" s="26" t="n"/>
      <c r="O14" s="26" t="n"/>
      <c r="P14" s="23" t="n"/>
      <c r="Q14" s="23" t="n"/>
    </row>
    <row r="15">
      <c r="A15" s="24" t="inlineStr">
        <is>
          <t>2.4</t>
        </is>
      </c>
      <c r="B15" s="25" t="inlineStr">
        <is>
          <t>Сменить учётные данные транков, AMI и базы данных</t>
        </is>
      </c>
      <c r="C15" s="26" t="n"/>
      <c r="D15" s="26" t="n"/>
      <c r="E15" s="26" t="n"/>
      <c r="F15" s="27">
        <f>'Параметры и допущения'!$B$9+7</f>
        <v>46279</v>
      </c>
      <c r="G15" s="27">
        <f>'Параметры и допущения'!$B$9+11</f>
        <v>46283</v>
      </c>
      <c r="H15" s="26" t="n"/>
      <c r="I15" s="26" t="n"/>
      <c r="J15" s="26" t="inlineStr">
        <is>
          <t>Учётные данные сменены</t>
        </is>
      </c>
      <c r="K15" s="26" t="inlineStr">
        <is>
          <t>Цеховской В.</t>
        </is>
      </c>
      <c r="L15" s="26" t="inlineStr">
        <is>
          <t>планируется</t>
        </is>
      </c>
      <c r="M15" s="26" t="n">
        <v>2</v>
      </c>
      <c r="N15" s="26" t="n"/>
      <c r="O15" s="26" t="n"/>
      <c r="Q15" s="23" t="n"/>
    </row>
    <row r="16">
      <c r="A16" s="24" t="inlineStr">
        <is>
          <t>2.5</t>
        </is>
      </c>
      <c r="B16" s="25" t="inlineStr">
        <is>
          <t>Пересобрать конфигурации телефонов</t>
        </is>
      </c>
      <c r="C16" s="26" t="n"/>
      <c r="D16" s="26" t="n"/>
      <c r="E16" s="26" t="n"/>
      <c r="F16" s="27">
        <f>'Параметры и допущения'!$B$9+7</f>
        <v>46279</v>
      </c>
      <c r="G16" s="27">
        <f>'Параметры и допущения'!$B$9+11</f>
        <v>46283</v>
      </c>
      <c r="H16" s="26" t="n"/>
      <c r="I16" s="26" t="n"/>
      <c r="J16" s="26" t="inlineStr">
        <is>
          <t>Телефоны работают с новыми паролями</t>
        </is>
      </c>
      <c r="K16" s="26" t="inlineStr">
        <is>
          <t>Цеховской В.</t>
        </is>
      </c>
      <c r="L16" s="26" t="inlineStr">
        <is>
          <t>планируется</t>
        </is>
      </c>
      <c r="M16" s="26" t="n">
        <v>1</v>
      </c>
      <c r="N16" s="26" t="n"/>
      <c r="O16" s="26" t="n"/>
      <c r="Q16" s="23" t="n"/>
    </row>
    <row r="17">
      <c r="A17" s="24" t="inlineStr">
        <is>
          <t>2.6</t>
        </is>
      </c>
      <c r="B17" s="25" t="inlineStr">
        <is>
          <t>Проверить восстановление из резервной копии на тестовой машине</t>
        </is>
      </c>
      <c r="C17" s="26" t="n"/>
      <c r="D17" s="26" t="n"/>
      <c r="E17" s="26" t="n"/>
      <c r="F17" s="27">
        <f>'Параметры и допущения'!$B$9+7</f>
        <v>46279</v>
      </c>
      <c r="G17" s="27">
        <f>'Параметры и допущения'!$B$9+11</f>
        <v>46283</v>
      </c>
      <c r="H17" s="26" t="n"/>
      <c r="I17" s="26" t="n"/>
      <c r="J17" s="26" t="inlineStr">
        <is>
          <t>Копия развёрнута и проверена</t>
        </is>
      </c>
      <c r="K17" s="26" t="inlineStr">
        <is>
          <t>Цеховской В.</t>
        </is>
      </c>
      <c r="L17" s="26" t="inlineStr">
        <is>
          <t>планируется</t>
        </is>
      </c>
      <c r="M17" s="26" t="n">
        <v>1</v>
      </c>
      <c r="N17" s="26" t="n"/>
      <c r="O17" s="26" t="n"/>
      <c r="Q17" s="23" t="n"/>
    </row>
    <row r="18">
      <c r="A18" s="19" t="inlineStr">
        <is>
          <t>3</t>
        </is>
      </c>
      <c r="B18" s="19" t="inlineStr">
        <is>
          <t>Порядок оповещения техподдержки при отклонениях</t>
        </is>
      </c>
      <c r="C18" s="19" t="inlineStr">
        <is>
          <t>развитие</t>
        </is>
      </c>
      <c r="D18" s="19" t="inlineStr">
        <is>
          <t>Инфраструктура</t>
        </is>
      </c>
      <c r="E18" s="20" t="inlineStr">
        <is>
          <t>Савенко В.</t>
        </is>
      </c>
      <c r="F18" s="21">
        <f>'Параметры и допущения'!$B$9+7</f>
        <v>46279</v>
      </c>
      <c r="G18" s="21">
        <f>'Параметры и допущения'!$B$9+11</f>
        <v>46283</v>
      </c>
      <c r="H18" s="21">
        <f>G18</f>
        <v>46283</v>
      </c>
      <c r="I18" s="19" t="inlineStr">
        <is>
          <t>Работы идут на боевой телефонии, но не определено, кто поднимается по тревоге и что вообще считается отклонением — договариваться об этом после первой нештатной ситуации поздно</t>
        </is>
      </c>
      <c r="J18" s="19" t="inlineStr">
        <is>
          <t>Порядок согласован и роздан всем участникам работ: известны дежурный, канал связи, время реакции и перечень событий, по которым поднимают тревогу</t>
        </is>
      </c>
      <c r="K18" s="19" t="inlineStr">
        <is>
          <t>Цеховской В.</t>
        </is>
      </c>
      <c r="L18" s="19" t="inlineStr">
        <is>
          <t>планируется</t>
        </is>
      </c>
      <c r="M18" s="19" t="n">
        <v>2</v>
      </c>
      <c r="N18" s="22">
        <f>'Параметры и допущения'!$B$26*M18</f>
        <v>23030</v>
      </c>
      <c r="O18" s="22" t="n">
        <v>0</v>
      </c>
      <c r="Q18" s="23" t="n"/>
    </row>
    <row r="19">
      <c r="A19" s="24" t="inlineStr">
        <is>
          <t>3.1</t>
        </is>
      </c>
      <c r="B19" s="25" t="inlineStr">
        <is>
          <t>Определить перечень событий, по которым поднимают тревогу</t>
        </is>
      </c>
      <c r="C19" s="26" t="n"/>
      <c r="D19" s="26" t="n"/>
      <c r="E19" s="26" t="n"/>
      <c r="F19" s="27">
        <f>'Параметры и допущения'!$B$9+7</f>
        <v>46279</v>
      </c>
      <c r="G19" s="27">
        <f>'Параметры и допущения'!$B$9+11</f>
        <v>46283</v>
      </c>
      <c r="H19" s="26" t="n"/>
      <c r="I19" s="26" t="n"/>
      <c r="J19" s="26" t="inlineStr">
        <is>
          <t>Зафиксированы: потеря регистраций на площадке, расхождение узлов кластера, недоступность панели управления, отказ транка в город</t>
        </is>
      </c>
      <c r="K19" s="26" t="inlineStr">
        <is>
          <t>Цеховской В.</t>
        </is>
      </c>
      <c r="L19" s="26" t="inlineStr">
        <is>
          <t>планируется</t>
        </is>
      </c>
      <c r="M19" s="26" t="n">
        <v>1</v>
      </c>
      <c r="N19" s="26" t="n"/>
      <c r="O19" s="26" t="n"/>
      <c r="Q19" s="23" t="n"/>
    </row>
    <row r="20">
      <c r="A20" s="24" t="inlineStr">
        <is>
          <t>3.2</t>
        </is>
      </c>
      <c r="B20" s="25" t="inlineStr">
        <is>
          <t>Назначить дежурного, канал связи и время реакции; раздать порядок</t>
        </is>
      </c>
      <c r="C20" s="26" t="n"/>
      <c r="D20" s="26" t="n"/>
      <c r="E20" s="26" t="n"/>
      <c r="F20" s="27">
        <f>'Параметры и допущения'!$B$9+7</f>
        <v>46279</v>
      </c>
      <c r="G20" s="27">
        <f>'Параметры и допущения'!$B$9+11</f>
        <v>46283</v>
      </c>
      <c r="H20" s="26" t="n"/>
      <c r="I20" s="26" t="n"/>
      <c r="J20" s="26" t="inlineStr">
        <is>
          <t>У каждого участника работ есть памятка: кому, куда и за какое время сообщать</t>
        </is>
      </c>
      <c r="K20" s="26" t="inlineStr">
        <is>
          <t>Цеховской В.</t>
        </is>
      </c>
      <c r="L20" s="26" t="inlineStr">
        <is>
          <t>планируется</t>
        </is>
      </c>
      <c r="M20" s="26" t="n">
        <v>1</v>
      </c>
      <c r="N20" s="26" t="n"/>
      <c r="O20" s="26" t="n"/>
      <c r="Q20" s="23" t="n"/>
    </row>
    <row r="21">
      <c r="A21" s="19" t="inlineStr">
        <is>
          <t>4</t>
        </is>
      </c>
      <c r="B21" s="19" t="inlineStr">
        <is>
          <t>Испытательный стенд</t>
        </is>
      </c>
      <c r="C21" s="19" t="inlineStr">
        <is>
          <t>развитие</t>
        </is>
      </c>
      <c r="D21" s="19" t="inlineStr">
        <is>
          <t>Инфраструктура</t>
        </is>
      </c>
      <c r="E21" s="20" t="inlineStr">
        <is>
          <t>Савенко В.</t>
        </is>
      </c>
      <c r="F21" s="21">
        <f>'Параметры и допущения'!$B$9+14</f>
        <v>46286</v>
      </c>
      <c r="G21" s="21">
        <f>'Параметры и допущения'!$B$9+18</f>
        <v>46290</v>
      </c>
      <c r="H21" s="21">
        <f>G21</f>
        <v>46290</v>
      </c>
      <c r="I21" s="19" t="inlineStr">
        <is>
          <t>Процедуры восстановления кластера и передачи роли мастера ни разу не выполнялись</t>
        </is>
      </c>
      <c r="J21" s="19" t="inlineStr">
        <is>
          <t>Стенд из трёх машин прошёл чек-лист приёмки: клонирование, восстановление кворума и передача роли мастера выполнены руками</t>
        </is>
      </c>
      <c r="K21" s="19" t="inlineStr">
        <is>
          <t>Цеховской В.</t>
        </is>
      </c>
      <c r="L21" s="19" t="inlineStr">
        <is>
          <t>планируется</t>
        </is>
      </c>
      <c r="M21" s="19" t="n">
        <v>6</v>
      </c>
      <c r="N21" s="22">
        <f>'Параметры и допущения'!$B$26*M21</f>
        <v>69090</v>
      </c>
      <c r="O21" s="22" t="n">
        <v>0</v>
      </c>
      <c r="R21" s="23" t="n"/>
    </row>
    <row r="22">
      <c r="A22" s="24" t="inlineStr">
        <is>
          <t>4.1</t>
        </is>
      </c>
      <c r="B22" s="25" t="inlineStr">
        <is>
          <t>Развернуть тестовый мастер и клонировать его в два узла</t>
        </is>
      </c>
      <c r="C22" s="26" t="n"/>
      <c r="D22" s="26" t="n"/>
      <c r="E22" s="26" t="n"/>
      <c r="F22" s="27">
        <f>'Параметры и допущения'!$B$9+14</f>
        <v>46286</v>
      </c>
      <c r="G22" s="27">
        <f>'Параметры и допущения'!$B$9+18</f>
        <v>46290</v>
      </c>
      <c r="H22" s="26" t="n"/>
      <c r="I22" s="26" t="n"/>
      <c r="J22" s="26" t="inlineStr">
        <is>
          <t>Клоны вступили в кластер, конфликтов имён узлов нет</t>
        </is>
      </c>
      <c r="K22" s="26" t="inlineStr">
        <is>
          <t>Дулепов А.</t>
        </is>
      </c>
      <c r="L22" s="26" t="inlineStr">
        <is>
          <t>планируется</t>
        </is>
      </c>
      <c r="M22" s="26" t="n">
        <v>3</v>
      </c>
      <c r="N22" s="26" t="n"/>
      <c r="O22" s="26" t="n"/>
      <c r="R22" s="23" t="n"/>
    </row>
    <row r="23">
      <c r="A23" s="24" t="inlineStr">
        <is>
          <t>4.2</t>
        </is>
      </c>
      <c r="B23" s="25" t="inlineStr">
        <is>
          <t>Отработать передачу роли мастера между двумя узлами</t>
        </is>
      </c>
      <c r="C23" s="26" t="n"/>
      <c r="D23" s="26" t="n"/>
      <c r="E23" s="26" t="n"/>
      <c r="F23" s="27">
        <f>'Параметры и допущения'!$B$9+14</f>
        <v>46286</v>
      </c>
      <c r="G23" s="27">
        <f>'Параметры и допущения'!$B$9+18</f>
        <v>46290</v>
      </c>
      <c r="H23" s="26" t="n"/>
      <c r="I23" s="26" t="n"/>
      <c r="J23" s="26" t="inlineStr">
        <is>
          <t>Процедура выполнена в обе стороны и задокументирована</t>
        </is>
      </c>
      <c r="K23" s="26" t="inlineStr">
        <is>
          <t>Цеховской В.</t>
        </is>
      </c>
      <c r="L23" s="26" t="inlineStr">
        <is>
          <t>планируется</t>
        </is>
      </c>
      <c r="M23" s="26" t="n">
        <v>2</v>
      </c>
      <c r="N23" s="26" t="n"/>
      <c r="O23" s="26" t="n"/>
      <c r="R23" s="23" t="n"/>
    </row>
    <row r="24">
      <c r="A24" s="24" t="inlineStr">
        <is>
          <t>4.3</t>
        </is>
      </c>
      <c r="B24" s="25" t="inlineStr">
        <is>
          <t>Отработать восстановление кворума</t>
        </is>
      </c>
      <c r="C24" s="26" t="n"/>
      <c r="D24" s="26" t="n"/>
      <c r="E24" s="26" t="n"/>
      <c r="F24" s="27">
        <f>'Параметры и допущения'!$B$9+14</f>
        <v>46286</v>
      </c>
      <c r="G24" s="27">
        <f>'Параметры и допущения'!$B$9+18</f>
        <v>46290</v>
      </c>
      <c r="H24" s="26" t="n"/>
      <c r="I24" s="26" t="n"/>
      <c r="J24" s="26" t="inlineStr">
        <is>
          <t>Кворум восстановлен вручную</t>
        </is>
      </c>
      <c r="K24" s="26" t="inlineStr">
        <is>
          <t>Цеховской В.</t>
        </is>
      </c>
      <c r="L24" s="26" t="inlineStr">
        <is>
          <t>планируется</t>
        </is>
      </c>
      <c r="M24" s="26" t="n">
        <v>1</v>
      </c>
      <c r="N24" s="26" t="n"/>
      <c r="O24" s="26" t="n"/>
      <c r="R24" s="23" t="n"/>
    </row>
    <row r="25">
      <c r="A25" s="19" t="inlineStr">
        <is>
          <t>5</t>
        </is>
      </c>
      <c r="B25" s="19" t="inlineStr">
        <is>
          <t>Ростовская АТС — первый узел кластера</t>
        </is>
      </c>
      <c r="C25" s="19" t="inlineStr">
        <is>
          <t>развитие</t>
        </is>
      </c>
      <c r="D25" s="19" t="inlineStr">
        <is>
          <t>Инфраструктура</t>
        </is>
      </c>
      <c r="E25" s="20" t="inlineStr">
        <is>
          <t>Савенко В.</t>
        </is>
      </c>
      <c r="F25" s="21">
        <f>'Параметры и допущения'!$B$9+21</f>
        <v>46293</v>
      </c>
      <c r="G25" s="21">
        <f>'Параметры и допущения'!$B$9+25</f>
        <v>46297</v>
      </c>
      <c r="H25" s="21">
        <f>G25</f>
        <v>46297</v>
      </c>
      <c r="I25" s="19" t="inlineStr">
        <is>
          <t>Вся боевая база живёт на ростовской АТС; перенести её в ЦОД без простоя можно только через кластер</t>
        </is>
      </c>
      <c r="J25" s="19" t="inlineStr">
        <is>
          <t>Ростовская АТС работает узлом кластера без переустановки; база готова к репликации в ЦОД</t>
        </is>
      </c>
      <c r="K25" s="19" t="inlineStr">
        <is>
          <t>Цеховской В.</t>
        </is>
      </c>
      <c r="L25" s="19" t="inlineStr">
        <is>
          <t>планируется</t>
        </is>
      </c>
      <c r="M25" s="19" t="n">
        <v>4</v>
      </c>
      <c r="N25" s="22">
        <f>'Параметры и допущения'!$B$26*M25</f>
        <v>46060</v>
      </c>
      <c r="O25" s="22" t="n">
        <v>0</v>
      </c>
      <c r="S25" s="23" t="n"/>
    </row>
    <row r="26">
      <c r="A26" s="24" t="inlineStr">
        <is>
          <t>5.1</t>
        </is>
      </c>
      <c r="B26" s="25" t="inlineStr">
        <is>
          <t>Снять резервную копию, перевести таблицы и запустить репликацию</t>
        </is>
      </c>
      <c r="C26" s="26" t="n"/>
      <c r="D26" s="26" t="n"/>
      <c r="E26" s="26" t="n"/>
      <c r="F26" s="27">
        <f>'Параметры и допущения'!$B$9+21</f>
        <v>46293</v>
      </c>
      <c r="G26" s="27">
        <f>'Параметры и допущения'!$B$9+25</f>
        <v>46297</v>
      </c>
      <c r="H26" s="26" t="n"/>
      <c r="I26" s="26" t="n"/>
      <c r="J26" s="26" t="inlineStr">
        <is>
          <t>База работает в режиме кластера, число добавочных сошлось</t>
        </is>
      </c>
      <c r="K26" s="26" t="inlineStr">
        <is>
          <t>Цеховской В.</t>
        </is>
      </c>
      <c r="L26" s="26" t="inlineStr">
        <is>
          <t>планируется</t>
        </is>
      </c>
      <c r="M26" s="26" t="n">
        <v>2</v>
      </c>
      <c r="N26" s="26" t="n"/>
      <c r="O26" s="26" t="n"/>
      <c r="S26" s="23" t="n"/>
    </row>
    <row r="27">
      <c r="A27" s="24" t="inlineStr">
        <is>
          <t>5.2</t>
        </is>
      </c>
      <c r="B27" s="25" t="inlineStr">
        <is>
          <t>Выгрузить номера в общую базу и проверить</t>
        </is>
      </c>
      <c r="C27" s="26" t="n"/>
      <c r="D27" s="26" t="n"/>
      <c r="E27" s="26" t="n"/>
      <c r="F27" s="27">
        <f>'Параметры и допущения'!$B$9+21</f>
        <v>46293</v>
      </c>
      <c r="G27" s="27">
        <f>'Параметры и допущения'!$B$9+25</f>
        <v>46297</v>
      </c>
      <c r="H27" s="26" t="n"/>
      <c r="I27" s="26" t="n"/>
      <c r="J27" s="26" t="inlineStr">
        <is>
          <t>Абоненты видны из общей базы</t>
        </is>
      </c>
      <c r="K27" s="26" t="inlineStr">
        <is>
          <t>Цеховской В.</t>
        </is>
      </c>
      <c r="L27" s="26" t="inlineStr">
        <is>
          <t>планируется</t>
        </is>
      </c>
      <c r="M27" s="26" t="n">
        <v>1</v>
      </c>
      <c r="N27" s="26" t="n"/>
      <c r="O27" s="26" t="n"/>
      <c r="S27" s="23" t="n"/>
    </row>
    <row r="28">
      <c r="A28" s="24" t="inlineStr">
        <is>
          <t>5.3</t>
        </is>
      </c>
      <c r="B28" s="25" t="inlineStr">
        <is>
          <t>Наблюдение до переноса центра</t>
        </is>
      </c>
      <c r="C28" s="26" t="n"/>
      <c r="D28" s="26" t="n"/>
      <c r="E28" s="26" t="n"/>
      <c r="F28" s="27">
        <f>'Параметры и допущения'!$B$9+21</f>
        <v>46293</v>
      </c>
      <c r="G28" s="27">
        <f>'Параметры и допущения'!$B$9+25</f>
        <v>46297</v>
      </c>
      <c r="H28" s="26" t="n"/>
      <c r="I28" s="26" t="n"/>
      <c r="J28" s="26" t="inlineStr">
        <is>
          <t>Отклонений не выявлено</t>
        </is>
      </c>
      <c r="K28" s="26" t="inlineStr">
        <is>
          <t>Цеховской В.</t>
        </is>
      </c>
      <c r="L28" s="26" t="inlineStr">
        <is>
          <t>планируется</t>
        </is>
      </c>
      <c r="M28" s="26" t="n">
        <v>1</v>
      </c>
      <c r="N28" s="26" t="n"/>
      <c r="O28" s="26" t="n"/>
      <c r="S28" s="23" t="n"/>
    </row>
    <row r="29">
      <c r="A29" s="19" t="inlineStr">
        <is>
          <t>6</t>
        </is>
      </c>
      <c r="B29" s="19" t="inlineStr">
        <is>
          <t>Центр в московском ЦОД: два живых узла в разных залах</t>
        </is>
      </c>
      <c r="C29" s="19" t="inlineStr">
        <is>
          <t>развитие</t>
        </is>
      </c>
      <c r="D29" s="19" t="inlineStr">
        <is>
          <t>Инфраструктура</t>
        </is>
      </c>
      <c r="E29" s="20" t="inlineStr">
        <is>
          <t>Савенко В.</t>
        </is>
      </c>
      <c r="F29" s="21">
        <f>'Параметры и допущения'!$B$9+28</f>
        <v>46300</v>
      </c>
      <c r="G29" s="21">
        <f>'Параметры и допущения'!$B$9+39</f>
        <v>46311</v>
      </c>
      <c r="H29" s="21">
        <f>G29</f>
        <v>46311</v>
      </c>
      <c r="I29" s="19" t="inlineStr">
        <is>
          <t>Управление и база сосредоточены на ростовской АТС — площадке без резервирования; по решению совещания центр переносится в ЦОД с копией во втором зале</t>
        </is>
      </c>
      <c r="J29" s="19" t="inlineStr">
        <is>
          <t>Два живых узла в разных залах ЦОД обслуживают вызовы, управление на ЦОД-1; Ростов понижен до выноса, 80 московских абонентов поделены между залами</t>
        </is>
      </c>
      <c r="K29" s="19" t="inlineStr">
        <is>
          <t>Цеховской В.</t>
        </is>
      </c>
      <c r="L29" s="19" t="inlineStr">
        <is>
          <t>планируется</t>
        </is>
      </c>
      <c r="M29" s="19" t="n">
        <v>10</v>
      </c>
      <c r="N29" s="22">
        <f>'Параметры и допущения'!$B$26*M29</f>
        <v>115150</v>
      </c>
      <c r="O29" s="22" t="n">
        <v>0</v>
      </c>
      <c r="T29" s="23" t="n"/>
      <c r="U29" s="23" t="n"/>
    </row>
    <row r="30">
      <c r="A30" s="24" t="inlineStr">
        <is>
          <t>6.1</t>
        </is>
      </c>
      <c r="B30" s="25" t="inlineStr">
        <is>
          <t>Клонировать ростовскую АТС в ЦОД-1, расшить клон в узел</t>
        </is>
      </c>
      <c r="C30" s="26" t="n"/>
      <c r="D30" s="26" t="n"/>
      <c r="E30" s="26" t="n"/>
      <c r="F30" s="27">
        <f>'Параметры и допущения'!$B$9+28</f>
        <v>46300</v>
      </c>
      <c r="G30" s="27">
        <f>'Параметры и допущения'!$B$9+32</f>
        <v>46304</v>
      </c>
      <c r="H30" s="26" t="n"/>
      <c r="I30" s="26" t="n"/>
      <c r="J30" s="26" t="inlineStr">
        <is>
          <t>ЦОД-1 в кластере, синхронизирован</t>
        </is>
      </c>
      <c r="K30" s="26" t="inlineStr">
        <is>
          <t>Дулепов А.</t>
        </is>
      </c>
      <c r="L30" s="26" t="inlineStr">
        <is>
          <t>планируется</t>
        </is>
      </c>
      <c r="M30" s="26" t="n">
        <v>2</v>
      </c>
      <c r="N30" s="26" t="n"/>
      <c r="O30" s="26" t="n"/>
      <c r="T30" s="23" t="n"/>
    </row>
    <row r="31">
      <c r="A31" s="24" t="inlineStr">
        <is>
          <t>6.2</t>
        </is>
      </c>
      <c r="B31" s="25" t="inlineStr">
        <is>
          <t>Передать роль мастера с Ростова на ЦОД-1</t>
        </is>
      </c>
      <c r="C31" s="26" t="n"/>
      <c r="D31" s="26" t="n"/>
      <c r="E31" s="26" t="n"/>
      <c r="F31" s="27">
        <f>'Параметры и допущения'!$B$9+28</f>
        <v>46300</v>
      </c>
      <c r="G31" s="27">
        <f>'Параметры и допущения'!$B$9+32</f>
        <v>46304</v>
      </c>
      <c r="H31" s="26" t="n"/>
      <c r="I31" s="26" t="n"/>
      <c r="J31" s="26" t="inlineStr">
        <is>
          <t>FreePBX и управление работают из ЦОД-1</t>
        </is>
      </c>
      <c r="K31" s="26" t="inlineStr">
        <is>
          <t>Цеховской В.</t>
        </is>
      </c>
      <c r="L31" s="26" t="inlineStr">
        <is>
          <t>планируется</t>
        </is>
      </c>
      <c r="M31" s="26" t="n">
        <v>2</v>
      </c>
      <c r="N31" s="26" t="n"/>
      <c r="O31" s="26" t="n"/>
      <c r="T31" s="23" t="n"/>
    </row>
    <row r="32">
      <c r="A32" s="24" t="inlineStr">
        <is>
          <t>6.3</t>
        </is>
      </c>
      <c r="B32" s="25" t="inlineStr">
        <is>
          <t>Клонировать ЦОД-1 в ЦОД-2 (второй зал), расшить клон в узел</t>
        </is>
      </c>
      <c r="C32" s="26" t="n"/>
      <c r="D32" s="26" t="n"/>
      <c r="E32" s="26" t="n"/>
      <c r="F32" s="27">
        <f>'Параметры и допущения'!$B$9+35</f>
        <v>46307</v>
      </c>
      <c r="G32" s="27">
        <f>'Параметры и допущения'!$B$9+39</f>
        <v>46311</v>
      </c>
      <c r="H32" s="26" t="n"/>
      <c r="I32" s="26" t="n"/>
      <c r="J32" s="26" t="inlineStr">
        <is>
          <t>ЦОД-2 в кластере, узлов три — кворум нечётный</t>
        </is>
      </c>
      <c r="K32" s="26" t="inlineStr">
        <is>
          <t>Дулепов А.</t>
        </is>
      </c>
      <c r="L32" s="26" t="inlineStr">
        <is>
          <t>планируется</t>
        </is>
      </c>
      <c r="M32" s="26" t="n">
        <v>2</v>
      </c>
      <c r="N32" s="26" t="n"/>
      <c r="O32" s="26" t="n"/>
      <c r="U32" s="23" t="n"/>
    </row>
    <row r="33">
      <c r="A33" s="24" t="inlineStr">
        <is>
          <t>6.4</t>
        </is>
      </c>
      <c r="B33" s="25" t="inlineStr">
        <is>
          <t>Сделать ЦОД-2 живым узлом: транк оператора, FreePBX оставить выключенным</t>
        </is>
      </c>
      <c r="C33" s="26" t="n"/>
      <c r="D33" s="26" t="n"/>
      <c r="E33" s="26" t="n"/>
      <c r="F33" s="27">
        <f>'Параметры и допущения'!$B$9+35</f>
        <v>46307</v>
      </c>
      <c r="G33" s="27">
        <f>'Параметры и допущения'!$B$9+39</f>
        <v>46311</v>
      </c>
      <c r="H33" s="26" t="n"/>
      <c r="I33" s="26" t="n"/>
      <c r="J33" s="26" t="inlineStr">
        <is>
          <t>ЦОД-2 несёт вызовы наравне с ЦОД-1; панель управления включена ровно на одном узле</t>
        </is>
      </c>
      <c r="K33" s="26" t="inlineStr">
        <is>
          <t>Цеховской В.</t>
        </is>
      </c>
      <c r="L33" s="26" t="inlineStr">
        <is>
          <t>планируется</t>
        </is>
      </c>
      <c r="M33" s="26" t="n">
        <v>2</v>
      </c>
      <c r="N33" s="26" t="n"/>
      <c r="O33" s="26" t="n"/>
      <c r="U33" s="23" t="n"/>
    </row>
    <row r="34">
      <c r="A34" s="24" t="inlineStr">
        <is>
          <t>6.5</t>
        </is>
      </c>
      <c r="B34" s="25" t="inlineStr">
        <is>
          <t>Понизить Ростов до выноса, поделить 80 московских абонентов между залами</t>
        </is>
      </c>
      <c r="C34" s="26" t="n"/>
      <c r="D34" s="26" t="n"/>
      <c r="E34" s="26" t="n"/>
      <c r="F34" s="27">
        <f>'Параметры и допущения'!$B$9+35</f>
        <v>46307</v>
      </c>
      <c r="G34" s="27">
        <f>'Параметры и допущения'!$B$9+39</f>
        <v>46311</v>
      </c>
      <c r="H34" s="26" t="n"/>
      <c r="I34" s="26" t="n"/>
      <c r="J34" s="26" t="inlineStr">
        <is>
          <t>По 40 абонентов на зал, каждый зал прописан другому резервным</t>
        </is>
      </c>
      <c r="K34" s="26" t="inlineStr">
        <is>
          <t>Цеховской В.</t>
        </is>
      </c>
      <c r="L34" s="26" t="inlineStr">
        <is>
          <t>планируется</t>
        </is>
      </c>
      <c r="M34" s="26" t="n">
        <v>2</v>
      </c>
      <c r="N34" s="26" t="n"/>
      <c r="O34" s="26" t="n"/>
      <c r="U34" s="23" t="n"/>
    </row>
    <row r="35">
      <c r="A35" s="19" t="inlineStr">
        <is>
          <t>7</t>
        </is>
      </c>
      <c r="B35" s="19" t="inlineStr">
        <is>
          <t>Пилотный вынос — Ставрополь</t>
        </is>
      </c>
      <c r="C35" s="19" t="inlineStr">
        <is>
          <t>развитие</t>
        </is>
      </c>
      <c r="D35" s="19" t="inlineStr">
        <is>
          <t>Инфраструктура</t>
        </is>
      </c>
      <c r="E35" s="20" t="inlineStr">
        <is>
          <t>Савенко В.</t>
        </is>
      </c>
      <c r="F35" s="21">
        <f>'Параметры и допущения'!$B$9+42</f>
        <v>46314</v>
      </c>
      <c r="G35" s="21">
        <f>'Параметры и допущения'!$B$9+53</f>
        <v>46325</v>
      </c>
      <c r="H35" s="21">
        <f>G35</f>
        <v>46325</v>
      </c>
      <c r="I35" s="19" t="inlineStr">
        <is>
          <t>Схема «центр в ЦОД — вынос в городе» не проверена на реальной нагрузке и канале</t>
        </is>
      </c>
      <c r="J35" s="19" t="inlineStr">
        <is>
          <t>Ставрополь работает выносом: локальная регистрация телефонов, свой выход в город, переключение в ЦОД при отказе площадки; его 74 абонента больше не зависят от канала до Ростова</t>
        </is>
      </c>
      <c r="K35" s="19" t="inlineStr">
        <is>
          <t>Цеховской В.</t>
        </is>
      </c>
      <c r="L35" s="19" t="inlineStr">
        <is>
          <t>планируется</t>
        </is>
      </c>
      <c r="M35" s="19" t="n">
        <v>10</v>
      </c>
      <c r="N35" s="22">
        <f>'Параметры и допущения'!$B$26*M35</f>
        <v>115150</v>
      </c>
      <c r="O35" s="22" t="n">
        <v>0</v>
      </c>
      <c r="V35" s="23" t="n"/>
      <c r="W35" s="23" t="n"/>
    </row>
    <row r="36">
      <c r="A36" s="24" t="inlineStr">
        <is>
          <t>7.1</t>
        </is>
      </c>
      <c r="B36" s="25" t="inlineStr">
        <is>
          <t>Клонировать мастер и расшить клон в вынос</t>
        </is>
      </c>
      <c r="C36" s="26" t="n"/>
      <c r="D36" s="26" t="n"/>
      <c r="E36" s="26" t="n"/>
      <c r="F36" s="27">
        <f>'Параметры и допущения'!$B$9+42</f>
        <v>46314</v>
      </c>
      <c r="G36" s="27">
        <f>'Параметры и допущения'!$B$9+46</f>
        <v>46318</v>
      </c>
      <c r="H36" s="26" t="n"/>
      <c r="I36" s="26" t="n"/>
      <c r="J36" s="26" t="inlineStr">
        <is>
          <t>Вынос в кластере</t>
        </is>
      </c>
      <c r="K36" s="26" t="inlineStr">
        <is>
          <t>Дулепов А.</t>
        </is>
      </c>
      <c r="L36" s="26" t="inlineStr">
        <is>
          <t>планируется</t>
        </is>
      </c>
      <c r="M36" s="26" t="n">
        <v>2</v>
      </c>
      <c r="N36" s="26" t="n"/>
      <c r="O36" s="26" t="n"/>
      <c r="V36" s="23" t="n"/>
    </row>
    <row r="37">
      <c r="A37" s="24" t="inlineStr">
        <is>
          <t>7.2</t>
        </is>
      </c>
      <c r="B37" s="25" t="inlineStr">
        <is>
          <t>Настроить межузловые транки и перенести диалплан</t>
        </is>
      </c>
      <c r="C37" s="26" t="n"/>
      <c r="D37" s="26" t="n"/>
      <c r="E37" s="26" t="n"/>
      <c r="F37" s="27">
        <f>'Параметры и допущения'!$B$9+42</f>
        <v>46314</v>
      </c>
      <c r="G37" s="27">
        <f>'Параметры и допущения'!$B$9+46</f>
        <v>46318</v>
      </c>
      <c r="H37" s="26" t="n"/>
      <c r="I37" s="26" t="n"/>
      <c r="J37" s="26" t="inlineStr">
        <is>
          <t>Вызовы между ЦОД, Ростовом и Ставрополем проходят</t>
        </is>
      </c>
      <c r="K37" s="26" t="inlineStr">
        <is>
          <t>Цеховской В.</t>
        </is>
      </c>
      <c r="L37" s="26" t="inlineStr">
        <is>
          <t>планируется</t>
        </is>
      </c>
      <c r="M37" s="26" t="n">
        <v>2</v>
      </c>
      <c r="N37" s="26" t="n"/>
      <c r="O37" s="26" t="n"/>
      <c r="V37" s="23" t="n"/>
    </row>
    <row r="38">
      <c r="A38" s="24" t="inlineStr">
        <is>
          <t>7.3</t>
        </is>
      </c>
      <c r="B38" s="25" t="inlineStr">
        <is>
          <t>Подключить локальный транк оператора</t>
        </is>
      </c>
      <c r="C38" s="26" t="n"/>
      <c r="D38" s="26" t="n"/>
      <c r="E38" s="26" t="n"/>
      <c r="F38" s="27">
        <f>'Параметры и допущения'!$B$9+42</f>
        <v>46314</v>
      </c>
      <c r="G38" s="27">
        <f>'Параметры и допущения'!$B$9+46</f>
        <v>46318</v>
      </c>
      <c r="H38" s="26" t="n"/>
      <c r="I38" s="26" t="n"/>
      <c r="J38" s="26" t="inlineStr">
        <is>
          <t>Свой выход в город работает</t>
        </is>
      </c>
      <c r="K38" s="26" t="inlineStr">
        <is>
          <t>Цеховской В.</t>
        </is>
      </c>
      <c r="L38" s="26" t="inlineStr">
        <is>
          <t>планируется</t>
        </is>
      </c>
      <c r="M38" s="26" t="n">
        <v>1</v>
      </c>
      <c r="N38" s="26" t="n"/>
      <c r="O38" s="26" t="n"/>
      <c r="V38" s="23" t="n"/>
    </row>
    <row r="39">
      <c r="A39" s="24" t="inlineStr">
        <is>
          <t>7.4</t>
        </is>
      </c>
      <c r="B39" s="25" t="inlineStr">
        <is>
          <t>Перевести телефоны на вынос через провижининг</t>
        </is>
      </c>
      <c r="C39" s="26" t="n"/>
      <c r="D39" s="26" t="n"/>
      <c r="E39" s="26" t="n"/>
      <c r="F39" s="27">
        <f>'Параметры и допущения'!$B$9+42</f>
        <v>46314</v>
      </c>
      <c r="G39" s="27">
        <f>'Параметры и допущения'!$B$9+46</f>
        <v>46318</v>
      </c>
      <c r="H39" s="26" t="n"/>
      <c r="I39" s="26" t="n"/>
      <c r="J39" s="26" t="inlineStr">
        <is>
          <t>Телефоны регистрируются в Ставрополе, резервный сервер — ЦОД-1</t>
        </is>
      </c>
      <c r="K39" s="26" t="inlineStr">
        <is>
          <t>Цеховской В.</t>
        </is>
      </c>
      <c r="L39" s="26" t="inlineStr">
        <is>
          <t>планируется</t>
        </is>
      </c>
      <c r="M39" s="26" t="n">
        <v>2</v>
      </c>
      <c r="N39" s="26" t="n"/>
      <c r="O39" s="26" t="n"/>
      <c r="V39" s="23" t="n"/>
    </row>
    <row r="40">
      <c r="A40" s="24" t="inlineStr">
        <is>
          <t>7.5</t>
        </is>
      </c>
      <c r="B40" s="25" t="inlineStr">
        <is>
          <t>Неделя наблюдения под реальной нагрузкой</t>
        </is>
      </c>
      <c r="C40" s="26" t="n"/>
      <c r="D40" s="26" t="n"/>
      <c r="E40" s="26" t="n"/>
      <c r="F40" s="27">
        <f>'Параметры и допущения'!$B$9+49</f>
        <v>46321</v>
      </c>
      <c r="G40" s="27">
        <f>'Параметры и допущения'!$B$9+53</f>
        <v>46325</v>
      </c>
      <c r="H40" s="26" t="n"/>
      <c r="I40" s="26" t="n"/>
      <c r="J40" s="26" t="inlineStr">
        <is>
          <t>Отказ площадки и возврат отработаны, решение о тиражировании принято</t>
        </is>
      </c>
      <c r="K40" s="26" t="inlineStr">
        <is>
          <t>Цеховской В.</t>
        </is>
      </c>
      <c r="L40" s="26" t="inlineStr">
        <is>
          <t>планируется</t>
        </is>
      </c>
      <c r="M40" s="26" t="n">
        <v>3</v>
      </c>
      <c r="N40" s="26" t="n"/>
      <c r="O40" s="26" t="n"/>
      <c r="W40" s="23" t="n"/>
    </row>
    <row r="41">
      <c r="A41" s="19" t="inlineStr">
        <is>
          <t>8</t>
        </is>
      </c>
      <c r="B41" s="19" t="inlineStr">
        <is>
          <t>Учебное переключение управления между залами ЦОД</t>
        </is>
      </c>
      <c r="C41" s="19" t="inlineStr">
        <is>
          <t>развитие</t>
        </is>
      </c>
      <c r="D41" s="19" t="inlineStr">
        <is>
          <t>Инфраструктура</t>
        </is>
      </c>
      <c r="E41" s="20" t="inlineStr">
        <is>
          <t>Савенко В.</t>
        </is>
      </c>
      <c r="F41" s="21">
        <f>'Параметры и допущения'!$B$9+56</f>
        <v>46328</v>
      </c>
      <c r="G41" s="21">
        <f>'Параметры и допущения'!$B$9+60</f>
        <v>46332</v>
      </c>
      <c r="H41" s="21">
        <f>G41</f>
        <v>46332</v>
      </c>
      <c r="I41" s="19" t="inlineStr">
        <is>
          <t>Вызовы оба зала несут постоянно, но панель управления живёт на одном узле; её переключение не опробовано</t>
        </is>
      </c>
      <c r="J41" s="19" t="inlineStr">
        <is>
          <t>Управление переведено в зал 2 и возвращено в зал 1 в согласованное окно; время переключения измерено и внесено в регламент</t>
        </is>
      </c>
      <c r="K41" s="19" t="inlineStr">
        <is>
          <t>Цеховской В.</t>
        </is>
      </c>
      <c r="L41" s="19" t="inlineStr">
        <is>
          <t>планируется</t>
        </is>
      </c>
      <c r="M41" s="19" t="n">
        <v>3</v>
      </c>
      <c r="N41" s="22">
        <f>'Параметры и допущения'!$B$26*M41</f>
        <v>34545</v>
      </c>
      <c r="O41" s="22" t="n">
        <v>0</v>
      </c>
      <c r="X41" s="23" t="n"/>
    </row>
    <row r="42">
      <c r="A42" s="24" t="inlineStr">
        <is>
          <t>8.1</t>
        </is>
      </c>
      <c r="B42" s="25" t="inlineStr">
        <is>
          <t>Включить FreePBX на ЦОД-2, проверить управление и звонки</t>
        </is>
      </c>
      <c r="C42" s="26" t="n"/>
      <c r="D42" s="26" t="n"/>
      <c r="E42" s="26" t="n"/>
      <c r="F42" s="27">
        <f>'Параметры и допущения'!$B$9+56</f>
        <v>46328</v>
      </c>
      <c r="G42" s="27">
        <f>'Параметры и допущения'!$B$9+60</f>
        <v>46332</v>
      </c>
      <c r="H42" s="26" t="n"/>
      <c r="I42" s="26" t="n"/>
      <c r="J42" s="26" t="inlineStr">
        <is>
          <t>Управление работает из зала 2, вызовы не прерывались</t>
        </is>
      </c>
      <c r="K42" s="26" t="inlineStr">
        <is>
          <t>Цеховской В.</t>
        </is>
      </c>
      <c r="L42" s="26" t="inlineStr">
        <is>
          <t>планируется</t>
        </is>
      </c>
      <c r="M42" s="26" t="n">
        <v>2</v>
      </c>
      <c r="N42" s="26" t="n"/>
      <c r="O42" s="26" t="n"/>
      <c r="X42" s="23" t="n"/>
    </row>
    <row r="43">
      <c r="A43" s="24" t="inlineStr">
        <is>
          <t>8.2</t>
        </is>
      </c>
      <c r="B43" s="25" t="inlineStr">
        <is>
          <t>Вернуть управление в ЦОД-1, зафиксировать время переключения</t>
        </is>
      </c>
      <c r="C43" s="26" t="n"/>
      <c r="D43" s="26" t="n"/>
      <c r="E43" s="26" t="n"/>
      <c r="F43" s="27">
        <f>'Параметры и допущения'!$B$9+56</f>
        <v>46328</v>
      </c>
      <c r="G43" s="27">
        <f>'Параметры и допущения'!$B$9+60</f>
        <v>46332</v>
      </c>
      <c r="H43" s="26" t="n"/>
      <c r="I43" s="26" t="n"/>
      <c r="J43" s="26" t="inlineStr">
        <is>
          <t>Схема в штатном состоянии, норматив записан в регламент</t>
        </is>
      </c>
      <c r="K43" s="26" t="inlineStr">
        <is>
          <t>Цеховской В.</t>
        </is>
      </c>
      <c r="L43" s="26" t="inlineStr">
        <is>
          <t>планируется</t>
        </is>
      </c>
      <c r="M43" s="26" t="n">
        <v>1</v>
      </c>
      <c r="N43" s="26" t="n"/>
      <c r="O43" s="26" t="n"/>
      <c r="X43" s="23" t="n"/>
    </row>
    <row r="44">
      <c r="A44" s="19" t="inlineStr">
        <is>
          <t>9</t>
        </is>
      </c>
      <c r="B44" s="19" t="inlineStr">
        <is>
          <t>Выносы Нижний Новгород и Славянск-на-Кубани</t>
        </is>
      </c>
      <c r="C44" s="19" t="inlineStr">
        <is>
          <t>развитие</t>
        </is>
      </c>
      <c r="D44" s="19" t="inlineStr">
        <is>
          <t>Инфраструктура</t>
        </is>
      </c>
      <c r="E44" s="20" t="inlineStr">
        <is>
          <t>Савенко В.</t>
        </is>
      </c>
      <c r="F44" s="21">
        <f>'Параметры и допущения'!$B$9+63</f>
        <v>46335</v>
      </c>
      <c r="G44" s="21">
        <f>'Параметры и допущения'!$B$9+74</f>
        <v>46346</v>
      </c>
      <c r="H44" s="21">
        <f>G44</f>
        <v>46346</v>
      </c>
      <c r="I44" s="19" t="inlineStr">
        <is>
          <t>Обе площадки обслуживаются отдельными станциями вне кластера; на них впервые отрабатывается полный перенос с гашением старой АТС</t>
        </is>
      </c>
      <c r="J44" s="19" t="inlineStr">
        <is>
          <t>Обе площадки работают выносами, старые станции выведены из эксплуатации</t>
        </is>
      </c>
      <c r="K44" s="19" t="inlineStr">
        <is>
          <t>Цеховской В.</t>
        </is>
      </c>
      <c r="L44" s="19" t="inlineStr">
        <is>
          <t>планируется</t>
        </is>
      </c>
      <c r="M44" s="19" t="n">
        <v>9</v>
      </c>
      <c r="N44" s="22">
        <f>'Параметры и допущения'!$B$26*M44</f>
        <v>103635</v>
      </c>
      <c r="O44" s="22" t="n">
        <v>0</v>
      </c>
      <c r="Y44" s="23" t="n"/>
      <c r="Z44" s="23" t="n"/>
    </row>
    <row r="45">
      <c r="A45" s="24" t="inlineStr">
        <is>
          <t>9.1</t>
        </is>
      </c>
      <c r="B45" s="25" t="inlineStr">
        <is>
          <t>Нижний Новгород — 164 абонента, старая станция гасится</t>
        </is>
      </c>
      <c r="C45" s="26" t="n"/>
      <c r="D45" s="26" t="n"/>
      <c r="E45" s="26" t="n"/>
      <c r="F45" s="27">
        <f>'Параметры и допущения'!$B$9+63</f>
        <v>46335</v>
      </c>
      <c r="G45" s="27">
        <f>'Параметры и допущения'!$B$9+67</f>
        <v>46339</v>
      </c>
      <c r="H45" s="26" t="n"/>
      <c r="I45" s="26" t="n"/>
      <c r="J45" s="26" t="inlineStr">
        <is>
          <t>Вынос работает, станция выведена</t>
        </is>
      </c>
      <c r="K45" s="26" t="inlineStr">
        <is>
          <t>Дулепов А.</t>
        </is>
      </c>
      <c r="L45" s="26" t="inlineStr">
        <is>
          <t>планируется</t>
        </is>
      </c>
      <c r="M45" s="26" t="n">
        <v>5</v>
      </c>
      <c r="N45" s="26" t="n"/>
      <c r="O45" s="26" t="n"/>
      <c r="Y45" s="23" t="n"/>
    </row>
    <row r="46">
      <c r="A46" s="24" t="inlineStr">
        <is>
          <t>9.2</t>
        </is>
      </c>
      <c r="B46" s="25" t="inlineStr">
        <is>
          <t>Славянск-на-Кубани — 140 абонентов, старая станция гасится</t>
        </is>
      </c>
      <c r="C46" s="26" t="n"/>
      <c r="D46" s="26" t="n"/>
      <c r="E46" s="26" t="n"/>
      <c r="F46" s="27">
        <f>'Параметры и допущения'!$B$9+70</f>
        <v>46342</v>
      </c>
      <c r="G46" s="27">
        <f>'Параметры и допущения'!$B$9+74</f>
        <v>46346</v>
      </c>
      <c r="H46" s="26" t="n"/>
      <c r="I46" s="26" t="n"/>
      <c r="J46" s="26" t="inlineStr">
        <is>
          <t>Вынос работает, станция выведена; этап 1 закрыт</t>
        </is>
      </c>
      <c r="K46" s="26" t="inlineStr">
        <is>
          <t>Дулепов А.</t>
        </is>
      </c>
      <c r="L46" s="26" t="inlineStr">
        <is>
          <t>планируется</t>
        </is>
      </c>
      <c r="M46" s="26" t="n">
        <v>4</v>
      </c>
      <c r="N46" s="26" t="n"/>
      <c r="O46" s="26" t="n"/>
      <c r="Z46" s="23" t="n"/>
    </row>
    <row r="47">
      <c r="A47" s="19" t="inlineStr">
        <is>
          <t>10</t>
        </is>
      </c>
      <c r="B47" s="19" t="inlineStr">
        <is>
          <t>Консолидация мелких АТС этапа 1</t>
        </is>
      </c>
      <c r="C47" s="19" t="inlineStr">
        <is>
          <t>развитие</t>
        </is>
      </c>
      <c r="D47" s="19" t="inlineStr">
        <is>
          <t>Инфраструктура</t>
        </is>
      </c>
      <c r="E47" s="20" t="inlineStr">
        <is>
          <t>Савенко В.</t>
        </is>
      </c>
      <c r="F47" s="21">
        <f>'Параметры и допущения'!$B$9+49</f>
        <v>46321</v>
      </c>
      <c r="G47" s="21">
        <f>'Параметры и допущения'!$B$9+74</f>
        <v>46346</v>
      </c>
      <c r="H47" s="21">
        <f>G47</f>
        <v>46346</v>
      </c>
      <c r="I47" s="19" t="inlineStr">
        <is>
          <t>Шесть станций на 127 абонентов дорого поддерживать и невыгодно включать в кластер отдельными узлами</t>
        </is>
      </c>
      <c r="J47" s="19" t="inlineStr">
        <is>
          <t>Абоненты мелких станций переведены на выносы и в ЦОД, станции выведены из эксплуатации</t>
        </is>
      </c>
      <c r="K47" s="19" t="inlineStr">
        <is>
          <t>Кириевская Е.</t>
        </is>
      </c>
      <c r="L47" s="19" t="inlineStr">
        <is>
          <t>планируется</t>
        </is>
      </c>
      <c r="M47" s="19" t="n">
        <v>6</v>
      </c>
      <c r="N47" s="22">
        <f>'Параметры и допущения'!$B$26*M47</f>
        <v>69090</v>
      </c>
      <c r="O47" s="22" t="n">
        <v>0</v>
      </c>
      <c r="W47" s="23" t="n"/>
      <c r="X47" s="23" t="n"/>
      <c r="Y47" s="23" t="n"/>
      <c r="Z47" s="23" t="n"/>
    </row>
    <row r="48">
      <c r="A48" s="24" t="inlineStr">
        <is>
          <t>10.1</t>
        </is>
      </c>
      <c r="B48" s="25" t="inlineStr">
        <is>
          <t>Манитек, Семикаракорский, Цимлянский, Приманыческий — 73 абонента — в Ростов</t>
        </is>
      </c>
      <c r="C48" s="26" t="n"/>
      <c r="D48" s="26" t="n"/>
      <c r="E48" s="26" t="n"/>
      <c r="F48" s="27">
        <f>'Параметры и допущения'!$B$9+49</f>
        <v>46321</v>
      </c>
      <c r="G48" s="27">
        <f>'Параметры и допущения'!$B$9+60</f>
        <v>46332</v>
      </c>
      <c r="H48" s="26" t="n"/>
      <c r="I48" s="26" t="n"/>
      <c r="J48" s="26" t="inlineStr">
        <is>
          <t>Станции выведены</t>
        </is>
      </c>
      <c r="K48" s="26" t="inlineStr">
        <is>
          <t>Кириевская Е.</t>
        </is>
      </c>
      <c r="L48" s="26" t="inlineStr">
        <is>
          <t>планируется</t>
        </is>
      </c>
      <c r="M48" s="26" t="n">
        <v>3</v>
      </c>
      <c r="N48" s="26" t="n"/>
      <c r="O48" s="26" t="n"/>
      <c r="W48" s="23" t="n"/>
      <c r="X48" s="23" t="n"/>
    </row>
    <row r="49">
      <c r="A49" s="24" t="inlineStr">
        <is>
          <t>10.2</t>
        </is>
      </c>
      <c r="B49" s="25" t="inlineStr">
        <is>
          <t>ССЗ — 39 абонентов — в Нижний Новгород</t>
        </is>
      </c>
      <c r="C49" s="26" t="n"/>
      <c r="D49" s="26" t="n"/>
      <c r="E49" s="26" t="n"/>
      <c r="F49" s="27">
        <f>'Параметры и допущения'!$B$9+70</f>
        <v>46342</v>
      </c>
      <c r="G49" s="27">
        <f>'Параметры и допущения'!$B$9+74</f>
        <v>46346</v>
      </c>
      <c r="H49" s="26" t="n"/>
      <c r="I49" s="26" t="n"/>
      <c r="J49" s="26" t="inlineStr">
        <is>
          <t>Станция выведена</t>
        </is>
      </c>
      <c r="K49" s="26" t="inlineStr">
        <is>
          <t>Кириевская Е.</t>
        </is>
      </c>
      <c r="L49" s="26" t="inlineStr">
        <is>
          <t>планируется</t>
        </is>
      </c>
      <c r="M49" s="26" t="n">
        <v>2</v>
      </c>
      <c r="N49" s="26" t="n"/>
      <c r="O49" s="26" t="n"/>
      <c r="Z49" s="23" t="n"/>
    </row>
    <row r="50">
      <c r="A50" s="24" t="inlineStr">
        <is>
          <t>10.3</t>
        </is>
      </c>
      <c r="B50" s="25" t="inlineStr">
        <is>
          <t>Локальный PBX — 15 абонентов — в ЦОД</t>
        </is>
      </c>
      <c r="C50" s="26" t="n"/>
      <c r="D50" s="26" t="n"/>
      <c r="E50" s="26" t="n"/>
      <c r="F50" s="27">
        <f>'Параметры и допущения'!$B$9+77</f>
        <v>46349</v>
      </c>
      <c r="G50" s="27">
        <f>'Параметры и допущения'!$B$9+81</f>
        <v>46353</v>
      </c>
      <c r="H50" s="26" t="n"/>
      <c r="I50" s="26" t="n"/>
      <c r="J50" s="26" t="inlineStr">
        <is>
          <t>Станция выведена</t>
        </is>
      </c>
      <c r="K50" s="26" t="inlineStr">
        <is>
          <t>Кириевская Е.</t>
        </is>
      </c>
      <c r="L50" s="26" t="inlineStr">
        <is>
          <t>планируется</t>
        </is>
      </c>
      <c r="M50" s="26" t="n">
        <v>1</v>
      </c>
      <c r="N50" s="26" t="n"/>
      <c r="O50" s="26" t="n"/>
      <c r="AA50" s="23" t="n"/>
    </row>
    <row r="51">
      <c r="A51" s="19" t="inlineStr">
        <is>
          <t>11</t>
        </is>
      </c>
      <c r="B51" s="19" t="inlineStr">
        <is>
          <t>Перевод абонентов этапа 1 на единый план нумерации</t>
        </is>
      </c>
      <c r="C51" s="19" t="inlineStr">
        <is>
          <t>развитие</t>
        </is>
      </c>
      <c r="D51" s="19" t="inlineStr">
        <is>
          <t>Инфраструктура</t>
        </is>
      </c>
      <c r="E51" s="20" t="inlineStr">
        <is>
          <t>Савенко В.</t>
        </is>
      </c>
      <c r="F51" s="21">
        <f>'Параметры и допущения'!$B$9+35</f>
        <v>46307</v>
      </c>
      <c r="G51" s="21">
        <f>'Параметры и допущения'!$B$9+81</f>
        <v>46353</v>
      </c>
      <c r="H51" s="21">
        <f>G51</f>
        <v>46353</v>
      </c>
      <c r="I51" s="19" t="inlineStr">
        <is>
          <t>Станции используют пересекающиеся номера, единый план невозможен без разведения конфликтов</t>
        </is>
      </c>
      <c r="J51" s="19" t="inlineStr">
        <is>
          <t>810 абонентов этапа 1 переведены на пятизначную нумерацию, переадресации сняты</t>
        </is>
      </c>
      <c r="K51" s="19" t="inlineStr">
        <is>
          <t>Кириевская Е.</t>
        </is>
      </c>
      <c r="L51" s="19" t="inlineStr">
        <is>
          <t>планируется</t>
        </is>
      </c>
      <c r="M51" s="19" t="n">
        <v>12</v>
      </c>
      <c r="N51" s="22">
        <f>'Параметры и допущения'!$B$26*M51</f>
        <v>138180</v>
      </c>
      <c r="O51" s="22" t="n">
        <v>0</v>
      </c>
      <c r="U51" s="23" t="n"/>
      <c r="V51" s="23" t="n"/>
      <c r="W51" s="23" t="n"/>
      <c r="X51" s="23" t="n"/>
      <c r="Y51" s="23" t="n"/>
      <c r="Z51" s="23" t="n"/>
      <c r="AA51" s="23" t="n"/>
    </row>
    <row r="52">
      <c r="A52" s="24" t="inlineStr">
        <is>
          <t>11.1</t>
        </is>
      </c>
      <c r="B52" s="25" t="inlineStr">
        <is>
          <t>Ростов и его мелкие площадки — 352 абонента</t>
        </is>
      </c>
      <c r="C52" s="26" t="n"/>
      <c r="D52" s="26" t="n"/>
      <c r="E52" s="26" t="n"/>
      <c r="F52" s="27">
        <f>'Параметры и допущения'!$B$9+35</f>
        <v>46307</v>
      </c>
      <c r="G52" s="27">
        <f>'Параметры и допущения'!$B$9+60</f>
        <v>46332</v>
      </c>
      <c r="H52" s="26" t="n"/>
      <c r="I52" s="26" t="n"/>
      <c r="J52" s="26" t="inlineStr">
        <is>
          <t>Площадки переведены</t>
        </is>
      </c>
      <c r="K52" s="26" t="inlineStr">
        <is>
          <t>Кириевская Е.</t>
        </is>
      </c>
      <c r="L52" s="26" t="inlineStr">
        <is>
          <t>планируется</t>
        </is>
      </c>
      <c r="M52" s="26" t="n">
        <v>4</v>
      </c>
      <c r="N52" s="26" t="n"/>
      <c r="O52" s="26" t="n"/>
      <c r="U52" s="23" t="n"/>
      <c r="V52" s="23" t="n"/>
      <c r="W52" s="23" t="n"/>
      <c r="X52" s="23" t="n"/>
    </row>
    <row r="53">
      <c r="A53" s="24" t="inlineStr">
        <is>
          <t>11.2</t>
        </is>
      </c>
      <c r="B53" s="25" t="inlineStr">
        <is>
          <t>Ставрополь — 74 абонента</t>
        </is>
      </c>
      <c r="C53" s="26" t="n"/>
      <c r="D53" s="26" t="n"/>
      <c r="E53" s="26" t="n"/>
      <c r="F53" s="27">
        <f>'Параметры и допущения'!$B$9+49</f>
        <v>46321</v>
      </c>
      <c r="G53" s="27">
        <f>'Параметры и допущения'!$B$9+60</f>
        <v>46332</v>
      </c>
      <c r="H53" s="26" t="n"/>
      <c r="I53" s="26" t="n"/>
      <c r="J53" s="26" t="inlineStr">
        <is>
          <t>Площадка переведена</t>
        </is>
      </c>
      <c r="K53" s="26" t="inlineStr">
        <is>
          <t>Кириевская Е.</t>
        </is>
      </c>
      <c r="L53" s="26" t="inlineStr">
        <is>
          <t>планируется</t>
        </is>
      </c>
      <c r="M53" s="26" t="n">
        <v>1</v>
      </c>
      <c r="N53" s="26" t="n"/>
      <c r="O53" s="26" t="n"/>
      <c r="W53" s="23" t="n"/>
      <c r="X53" s="23" t="n"/>
    </row>
    <row r="54">
      <c r="A54" s="24" t="inlineStr">
        <is>
          <t>11.3</t>
        </is>
      </c>
      <c r="B54" s="25" t="inlineStr">
        <is>
          <t>Нижний Новгород и ССЗ — 164 абонента</t>
        </is>
      </c>
      <c r="C54" s="26" t="n"/>
      <c r="D54" s="26" t="n"/>
      <c r="E54" s="26" t="n"/>
      <c r="F54" s="27">
        <f>'Параметры и допущения'!$B$9+63</f>
        <v>46335</v>
      </c>
      <c r="G54" s="27">
        <f>'Параметры и допущения'!$B$9+81</f>
        <v>46353</v>
      </c>
      <c r="H54" s="26" t="n"/>
      <c r="I54" s="26" t="n"/>
      <c r="J54" s="26" t="inlineStr">
        <is>
          <t>Площадки переведены</t>
        </is>
      </c>
      <c r="K54" s="26" t="inlineStr">
        <is>
          <t>Кириевская Е.</t>
        </is>
      </c>
      <c r="L54" s="26" t="inlineStr">
        <is>
          <t>планируется</t>
        </is>
      </c>
      <c r="M54" s="26" t="n">
        <v>3</v>
      </c>
      <c r="N54" s="26" t="n"/>
      <c r="O54" s="26" t="n"/>
      <c r="Y54" s="23" t="n"/>
      <c r="Z54" s="23" t="n"/>
      <c r="AA54" s="23" t="n"/>
    </row>
    <row r="55">
      <c r="A55" s="24" t="inlineStr">
        <is>
          <t>11.4</t>
        </is>
      </c>
      <c r="B55" s="25" t="inlineStr">
        <is>
          <t>Славянск-на-Кубани — 140 абонентов</t>
        </is>
      </c>
      <c r="C55" s="26" t="n"/>
      <c r="D55" s="26" t="n"/>
      <c r="E55" s="26" t="n"/>
      <c r="F55" s="27">
        <f>'Параметры и допущения'!$B$9+70</f>
        <v>46342</v>
      </c>
      <c r="G55" s="27">
        <f>'Параметры и допущения'!$B$9+81</f>
        <v>46353</v>
      </c>
      <c r="H55" s="26" t="n"/>
      <c r="I55" s="26" t="n"/>
      <c r="J55" s="26" t="inlineStr">
        <is>
          <t>Площадка переведена</t>
        </is>
      </c>
      <c r="K55" s="26" t="inlineStr">
        <is>
          <t>Кириевская Е.</t>
        </is>
      </c>
      <c r="L55" s="26" t="inlineStr">
        <is>
          <t>планируется</t>
        </is>
      </c>
      <c r="M55" s="26" t="n">
        <v>2</v>
      </c>
      <c r="N55" s="26" t="n"/>
      <c r="O55" s="26" t="n"/>
      <c r="Z55" s="23" t="n"/>
      <c r="AA55" s="23" t="n"/>
    </row>
    <row r="56">
      <c r="A56" s="24" t="inlineStr">
        <is>
          <t>11.5</t>
        </is>
      </c>
      <c r="B56" s="25" t="inlineStr">
        <is>
          <t>Москва — 80 абонентов, снятие переадресаций</t>
        </is>
      </c>
      <c r="C56" s="26" t="n"/>
      <c r="D56" s="26" t="n"/>
      <c r="E56" s="26" t="n"/>
      <c r="F56" s="27">
        <f>'Параметры и допущения'!$B$9+63</f>
        <v>46335</v>
      </c>
      <c r="G56" s="27">
        <f>'Параметры и допущения'!$B$9+81</f>
        <v>46353</v>
      </c>
      <c r="H56" s="26" t="n"/>
      <c r="I56" s="26" t="n"/>
      <c r="J56" s="26" t="inlineStr">
        <is>
          <t>Площадка переведена</t>
        </is>
      </c>
      <c r="K56" s="26" t="inlineStr">
        <is>
          <t>Кириевская Е.</t>
        </is>
      </c>
      <c r="L56" s="26" t="inlineStr">
        <is>
          <t>планируется</t>
        </is>
      </c>
      <c r="M56" s="26" t="n">
        <v>2</v>
      </c>
      <c r="N56" s="26" t="n"/>
      <c r="O56" s="26" t="n"/>
      <c r="Y56" s="23" t="n"/>
      <c r="Z56" s="23" t="n"/>
      <c r="AA56" s="23" t="n"/>
    </row>
    <row r="57" ht="20" customHeight="1">
      <c r="A57" s="17" t="n"/>
      <c r="B57" s="18" t="inlineStr">
        <is>
          <t>ЭТАП 2 — Воронеж (недели 13–16, 445 абонентов)</t>
        </is>
      </c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</row>
    <row r="58">
      <c r="A58" s="19" t="inlineStr">
        <is>
          <t>12</t>
        </is>
      </c>
      <c r="B58" s="19" t="inlineStr">
        <is>
          <t>Воронежский вынос</t>
        </is>
      </c>
      <c r="C58" s="19" t="inlineStr">
        <is>
          <t>развитие</t>
        </is>
      </c>
      <c r="D58" s="19" t="inlineStr">
        <is>
          <t>Инфраструктура</t>
        </is>
      </c>
      <c r="E58" s="20" t="inlineStr">
        <is>
          <t>Савенко В.</t>
        </is>
      </c>
      <c r="F58" s="21">
        <f>'Параметры и допущения'!$B$9+84</f>
        <v>46356</v>
      </c>
      <c r="G58" s="21">
        <f>'Параметры и допущения'!$B$9+95</f>
        <v>46367</v>
      </c>
      <c r="H58" s="21">
        <f>G58</f>
        <v>46367</v>
      </c>
      <c r="I58" s="19" t="inlineStr">
        <is>
          <t>Воронеж — самая крупная площадка (445 абонентов) и по решению совещания вводится отдельным этапом после всех остальных</t>
        </is>
      </c>
      <c r="J58" s="19" t="inlineStr">
        <is>
          <t>Воронеж работает выносом; узлов семь — число нечётное, кворум не требует арбитра</t>
        </is>
      </c>
      <c r="K58" s="19" t="inlineStr">
        <is>
          <t>Цеховской В.</t>
        </is>
      </c>
      <c r="L58" s="19" t="inlineStr">
        <is>
          <t>планируется</t>
        </is>
      </c>
      <c r="M58" s="19" t="n">
        <v>8</v>
      </c>
      <c r="N58" s="22">
        <f>'Параметры и допущения'!$B$26*M58</f>
        <v>92120</v>
      </c>
      <c r="O58" s="22" t="n">
        <v>0</v>
      </c>
      <c r="AB58" s="23" t="n"/>
      <c r="AC58" s="23" t="n"/>
    </row>
    <row r="59">
      <c r="A59" s="24" t="inlineStr">
        <is>
          <t>12.1</t>
        </is>
      </c>
      <c r="B59" s="25" t="inlineStr">
        <is>
          <t>Проверить, что все шесть узлов Synced до начала работ</t>
        </is>
      </c>
      <c r="C59" s="26" t="n"/>
      <c r="D59" s="26" t="n"/>
      <c r="E59" s="26" t="n"/>
      <c r="F59" s="27">
        <f>'Параметры и допущения'!$B$9+84</f>
        <v>46356</v>
      </c>
      <c r="G59" s="27">
        <f>'Параметры и допущения'!$B$9+88</f>
        <v>46360</v>
      </c>
      <c r="H59" s="26" t="n"/>
      <c r="I59" s="26" t="n"/>
      <c r="J59" s="26" t="inlineStr">
        <is>
          <t>Кластер здоров, расхождений нет</t>
        </is>
      </c>
      <c r="K59" s="26" t="inlineStr">
        <is>
          <t>Цеховской В.</t>
        </is>
      </c>
      <c r="L59" s="26" t="inlineStr">
        <is>
          <t>планируется</t>
        </is>
      </c>
      <c r="M59" s="26" t="n">
        <v>1</v>
      </c>
      <c r="N59" s="26" t="n"/>
      <c r="O59" s="26" t="n"/>
      <c r="AB59" s="23" t="n"/>
    </row>
    <row r="60">
      <c r="A60" s="24" t="inlineStr">
        <is>
          <t>12.2</t>
        </is>
      </c>
      <c r="B60" s="25" t="inlineStr">
        <is>
          <t>Клонировать мастер и расшить клон в вынос</t>
        </is>
      </c>
      <c r="C60" s="26" t="n"/>
      <c r="D60" s="26" t="n"/>
      <c r="E60" s="26" t="n"/>
      <c r="F60" s="27">
        <f>'Параметры и допущения'!$B$9+84</f>
        <v>46356</v>
      </c>
      <c r="G60" s="27">
        <f>'Параметры и допущения'!$B$9+88</f>
        <v>46360</v>
      </c>
      <c r="H60" s="26" t="n"/>
      <c r="I60" s="26" t="n"/>
      <c r="J60" s="26" t="inlineStr">
        <is>
          <t>Вынос в кластере</t>
        </is>
      </c>
      <c r="K60" s="26" t="inlineStr">
        <is>
          <t>Дулепов А.</t>
        </is>
      </c>
      <c r="L60" s="26" t="inlineStr">
        <is>
          <t>планируется</t>
        </is>
      </c>
      <c r="M60" s="26" t="n">
        <v>2</v>
      </c>
      <c r="N60" s="26" t="n"/>
      <c r="O60" s="26" t="n"/>
      <c r="AB60" s="23" t="n"/>
    </row>
    <row r="61">
      <c r="A61" s="24" t="inlineStr">
        <is>
          <t>12.3</t>
        </is>
      </c>
      <c r="B61" s="25" t="inlineStr">
        <is>
          <t>Межузловые транки и диалплан</t>
        </is>
      </c>
      <c r="C61" s="26" t="n"/>
      <c r="D61" s="26" t="n"/>
      <c r="E61" s="26" t="n"/>
      <c r="F61" s="27">
        <f>'Параметры и допущения'!$B$9+84</f>
        <v>46356</v>
      </c>
      <c r="G61" s="27">
        <f>'Параметры и допущения'!$B$9+88</f>
        <v>46360</v>
      </c>
      <c r="H61" s="26" t="n"/>
      <c r="I61" s="26" t="n"/>
      <c r="J61" s="26" t="inlineStr">
        <is>
          <t>Вызовы с другими площадками проходят</t>
        </is>
      </c>
      <c r="K61" s="26" t="inlineStr">
        <is>
          <t>Цеховской В.</t>
        </is>
      </c>
      <c r="L61" s="26" t="inlineStr">
        <is>
          <t>планируется</t>
        </is>
      </c>
      <c r="M61" s="26" t="n">
        <v>2</v>
      </c>
      <c r="N61" s="26" t="n"/>
      <c r="O61" s="26" t="n"/>
      <c r="AB61" s="23" t="n"/>
    </row>
    <row r="62">
      <c r="A62" s="24" t="inlineStr">
        <is>
          <t>12.4</t>
        </is>
      </c>
      <c r="B62" s="25" t="inlineStr">
        <is>
          <t>Локальный транк оператора</t>
        </is>
      </c>
      <c r="C62" s="26" t="n"/>
      <c r="D62" s="26" t="n"/>
      <c r="E62" s="26" t="n"/>
      <c r="F62" s="27">
        <f>'Параметры и допущения'!$B$9+91</f>
        <v>46363</v>
      </c>
      <c r="G62" s="27">
        <f>'Параметры и допущения'!$B$9+95</f>
        <v>46367</v>
      </c>
      <c r="H62" s="26" t="n"/>
      <c r="I62" s="26" t="n"/>
      <c r="J62" s="26" t="inlineStr">
        <is>
          <t>Свой выход в город работает</t>
        </is>
      </c>
      <c r="K62" s="26" t="inlineStr">
        <is>
          <t>Цеховской В.</t>
        </is>
      </c>
      <c r="L62" s="26" t="inlineStr">
        <is>
          <t>планируется</t>
        </is>
      </c>
      <c r="M62" s="26" t="n">
        <v>1</v>
      </c>
      <c r="N62" s="26" t="n"/>
      <c r="O62" s="26" t="n"/>
      <c r="AC62" s="23" t="n"/>
    </row>
    <row r="63">
      <c r="A63" s="24" t="inlineStr">
        <is>
          <t>12.5</t>
        </is>
      </c>
      <c r="B63" s="25" t="inlineStr">
        <is>
          <t>Перевести телефоны на вынос через провижининг</t>
        </is>
      </c>
      <c r="C63" s="26" t="n"/>
      <c r="D63" s="26" t="n"/>
      <c r="E63" s="26" t="n"/>
      <c r="F63" s="27">
        <f>'Параметры и допущения'!$B$9+91</f>
        <v>46363</v>
      </c>
      <c r="G63" s="27">
        <f>'Параметры и допущения'!$B$9+95</f>
        <v>46367</v>
      </c>
      <c r="H63" s="26" t="n"/>
      <c r="I63" s="26" t="n"/>
      <c r="J63" s="26" t="inlineStr">
        <is>
          <t>Телефоны регистрируются в Воронеже, резервный сервер — ЦОД-1</t>
        </is>
      </c>
      <c r="K63" s="26" t="inlineStr">
        <is>
          <t>Цеховской В.</t>
        </is>
      </c>
      <c r="L63" s="26" t="inlineStr">
        <is>
          <t>планируется</t>
        </is>
      </c>
      <c r="M63" s="26" t="n">
        <v>2</v>
      </c>
      <c r="N63" s="26" t="n"/>
      <c r="O63" s="26" t="n"/>
      <c r="AC63" s="23" t="n"/>
    </row>
    <row r="64">
      <c r="A64" s="19" t="inlineStr">
        <is>
          <t>13</t>
        </is>
      </c>
      <c r="B64" s="19" t="inlineStr">
        <is>
          <t>Консолидация воронежских АТС</t>
        </is>
      </c>
      <c r="C64" s="19" t="inlineStr">
        <is>
          <t>развитие</t>
        </is>
      </c>
      <c r="D64" s="19" t="inlineStr">
        <is>
          <t>Инфраструктура</t>
        </is>
      </c>
      <c r="E64" s="20" t="inlineStr">
        <is>
          <t>Савенко В.</t>
        </is>
      </c>
      <c r="F64" s="21">
        <f>'Параметры и допущения'!$B$9+91</f>
        <v>46363</v>
      </c>
      <c r="G64" s="21">
        <f>'Параметры и допущения'!$B$9+102</f>
        <v>46374</v>
      </c>
      <c r="H64" s="21">
        <f>G64</f>
        <v>46374</v>
      </c>
      <c r="I64" s="19" t="inlineStr">
        <is>
          <t>Мясокомбинат и Калуга — 216 абонентов на двух отдельных станциях</t>
        </is>
      </c>
      <c r="J64" s="19" t="inlineStr">
        <is>
          <t>Абоненты переведены на воронежский вынос, станции выведены из эксплуатации</t>
        </is>
      </c>
      <c r="K64" s="19" t="inlineStr">
        <is>
          <t>Кириевская Е.</t>
        </is>
      </c>
      <c r="L64" s="19" t="inlineStr">
        <is>
          <t>планируется</t>
        </is>
      </c>
      <c r="M64" s="19" t="n">
        <v>6</v>
      </c>
      <c r="N64" s="22">
        <f>'Параметры и допущения'!$B$26*M64</f>
        <v>69090</v>
      </c>
      <c r="O64" s="22" t="n">
        <v>0</v>
      </c>
      <c r="AC64" s="23" t="n"/>
      <c r="AD64" s="23" t="n"/>
    </row>
    <row r="65">
      <c r="A65" s="24" t="inlineStr">
        <is>
          <t>13.1</t>
        </is>
      </c>
      <c r="B65" s="25" t="inlineStr">
        <is>
          <t>Мясокомбинат — 187 абонентов</t>
        </is>
      </c>
      <c r="C65" s="26" t="n"/>
      <c r="D65" s="26" t="n"/>
      <c r="E65" s="26" t="n"/>
      <c r="F65" s="27">
        <f>'Параметры и допущения'!$B$9+91</f>
        <v>46363</v>
      </c>
      <c r="G65" s="27">
        <f>'Параметры и допущения'!$B$9+102</f>
        <v>46374</v>
      </c>
      <c r="H65" s="26" t="n"/>
      <c r="I65" s="26" t="n"/>
      <c r="J65" s="26" t="inlineStr">
        <is>
          <t>Станция выведена</t>
        </is>
      </c>
      <c r="K65" s="26" t="inlineStr">
        <is>
          <t>Кириевская Е.</t>
        </is>
      </c>
      <c r="L65" s="26" t="inlineStr">
        <is>
          <t>планируется</t>
        </is>
      </c>
      <c r="M65" s="26" t="n">
        <v>4</v>
      </c>
      <c r="N65" s="26" t="n"/>
      <c r="O65" s="26" t="n"/>
      <c r="AC65" s="23" t="n"/>
      <c r="AD65" s="23" t="n"/>
    </row>
    <row r="66">
      <c r="A66" s="24" t="inlineStr">
        <is>
          <t>13.2</t>
        </is>
      </c>
      <c r="B66" s="25" t="inlineStr">
        <is>
          <t>Калуга — 29 абонентов</t>
        </is>
      </c>
      <c r="C66" s="26" t="n"/>
      <c r="D66" s="26" t="n"/>
      <c r="E66" s="26" t="n"/>
      <c r="F66" s="27">
        <f>'Параметры и допущения'!$B$9+98</f>
        <v>46370</v>
      </c>
      <c r="G66" s="27">
        <f>'Параметры и допущения'!$B$9+102</f>
        <v>46374</v>
      </c>
      <c r="H66" s="26" t="n"/>
      <c r="I66" s="26" t="n"/>
      <c r="J66" s="26" t="inlineStr">
        <is>
          <t>Станция выведена</t>
        </is>
      </c>
      <c r="K66" s="26" t="inlineStr">
        <is>
          <t>Кириевская Е.</t>
        </is>
      </c>
      <c r="L66" s="26" t="inlineStr">
        <is>
          <t>планируется</t>
        </is>
      </c>
      <c r="M66" s="26" t="n">
        <v>2</v>
      </c>
      <c r="N66" s="26" t="n"/>
      <c r="O66" s="26" t="n"/>
      <c r="AD66" s="23" t="n"/>
    </row>
    <row r="67">
      <c r="A67" s="19" t="inlineStr">
        <is>
          <t>14</t>
        </is>
      </c>
      <c r="B67" s="19" t="inlineStr">
        <is>
          <t>Перевод воронежских абонентов на единый план нумерации</t>
        </is>
      </c>
      <c r="C67" s="19" t="inlineStr">
        <is>
          <t>развитие</t>
        </is>
      </c>
      <c r="D67" s="19" t="inlineStr">
        <is>
          <t>Инфраструктура</t>
        </is>
      </c>
      <c r="E67" s="20" t="inlineStr">
        <is>
          <t>Савенко В.</t>
        </is>
      </c>
      <c r="F67" s="21">
        <f>'Параметры и допущения'!$B$9+91</f>
        <v>46363</v>
      </c>
      <c r="G67" s="21">
        <f>'Параметры и допущения'!$B$9+109</f>
        <v>46381</v>
      </c>
      <c r="H67" s="21">
        <f>G67</f>
        <v>46381</v>
      </c>
      <c r="I67" s="19" t="inlineStr">
        <is>
          <t>445 абонентов Воронежа и его станций используют старую нумерацию</t>
        </is>
      </c>
      <c r="J67" s="19" t="inlineStr">
        <is>
          <t>Воронеж переведён на пятизначную нумерацию, переадресации со старых номеров сняты</t>
        </is>
      </c>
      <c r="K67" s="19" t="inlineStr">
        <is>
          <t>Кириевская Е.</t>
        </is>
      </c>
      <c r="L67" s="19" t="inlineStr">
        <is>
          <t>планируется</t>
        </is>
      </c>
      <c r="M67" s="19" t="n">
        <v>6</v>
      </c>
      <c r="N67" s="22">
        <f>'Параметры и допущения'!$B$26*M67</f>
        <v>69090</v>
      </c>
      <c r="O67" s="22" t="n">
        <v>0</v>
      </c>
      <c r="AC67" s="23" t="n"/>
      <c r="AD67" s="23" t="n"/>
      <c r="AE67" s="23" t="n"/>
    </row>
    <row r="68">
      <c r="A68" s="24" t="inlineStr">
        <is>
          <t>14.1</t>
        </is>
      </c>
      <c r="B68" s="25" t="inlineStr">
        <is>
          <t>Воронеж и Мясокомбинат — 416 абонентов</t>
        </is>
      </c>
      <c r="C68" s="26" t="n"/>
      <c r="D68" s="26" t="n"/>
      <c r="E68" s="26" t="n"/>
      <c r="F68" s="27">
        <f>'Параметры и допущения'!$B$9+91</f>
        <v>46363</v>
      </c>
      <c r="G68" s="27">
        <f>'Параметры и допущения'!$B$9+109</f>
        <v>46381</v>
      </c>
      <c r="H68" s="26" t="n"/>
      <c r="I68" s="26" t="n"/>
      <c r="J68" s="26" t="inlineStr">
        <is>
          <t>Площадки переведены</t>
        </is>
      </c>
      <c r="K68" s="26" t="inlineStr">
        <is>
          <t>Кириевская Е.</t>
        </is>
      </c>
      <c r="L68" s="26" t="inlineStr">
        <is>
          <t>планируется</t>
        </is>
      </c>
      <c r="M68" s="26" t="n">
        <v>5</v>
      </c>
      <c r="N68" s="26" t="n"/>
      <c r="O68" s="26" t="n"/>
      <c r="AC68" s="23" t="n"/>
      <c r="AD68" s="23" t="n"/>
      <c r="AE68" s="23" t="n"/>
    </row>
    <row r="69">
      <c r="A69" s="24" t="inlineStr">
        <is>
          <t>14.2</t>
        </is>
      </c>
      <c r="B69" s="25" t="inlineStr">
        <is>
          <t>Калуга — сверка: часть абонентов уже на пятизначных</t>
        </is>
      </c>
      <c r="C69" s="26" t="n"/>
      <c r="D69" s="26" t="n"/>
      <c r="E69" s="26" t="n"/>
      <c r="F69" s="27">
        <f>'Параметры и допущения'!$B$9+105</f>
        <v>46377</v>
      </c>
      <c r="G69" s="27">
        <f>'Параметры и допущения'!$B$9+109</f>
        <v>46381</v>
      </c>
      <c r="H69" s="26" t="n"/>
      <c r="I69" s="26" t="n"/>
      <c r="J69" s="26" t="inlineStr">
        <is>
          <t>Расхождений нет, переадресации сняты</t>
        </is>
      </c>
      <c r="K69" s="26" t="inlineStr">
        <is>
          <t>Кириевская Е.</t>
        </is>
      </c>
      <c r="L69" s="26" t="inlineStr">
        <is>
          <t>планируется</t>
        </is>
      </c>
      <c r="M69" s="26" t="n">
        <v>1</v>
      </c>
      <c r="N69" s="26" t="n"/>
      <c r="O69" s="26" t="n"/>
      <c r="AE69" s="23" t="n"/>
    </row>
    <row r="70">
      <c r="A70" s="28" t="n"/>
      <c r="B70" s="28" t="inlineStr">
        <is>
          <t>ИТОГО по проекту</t>
        </is>
      </c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>
        <f>M4+M11+M18+M21+M25+M29+M35+M41+M44+M47+M51+M58+M64+M67</f>
        <v>100</v>
      </c>
      <c r="N70" s="29">
        <f>N4+N11+N18+N21+N25+N29+N35+N41+N44+N47+N51+N58+N64+N67</f>
        <v>1151500</v>
      </c>
      <c r="O70" s="29">
        <f>O4+O11+O18+O21+O25+O29+O35+O41+O44+O47+O51+O58+O64+O67</f>
        <v>0</v>
      </c>
    </row>
  </sheetData>
  <mergeCells count="4">
    <mergeCell ref="X1:AB1"/>
    <mergeCell ref="AC1:AE1"/>
    <mergeCell ref="P1:S1"/>
    <mergeCell ref="T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2026-08-21T11:54:09Z</dcterms:created>
  <dcterms:modified xsi:type="dcterms:W3CDTF">2026-08-21T11:54:09Z</dcterms:modified>
</cp:coreProperties>
</file>