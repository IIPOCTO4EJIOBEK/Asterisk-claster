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лан рабо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Calibri"/>
      <b val="1"/>
      <sz val="12"/>
    </font>
    <font>
      <name val="Calibri"/>
      <b val="1"/>
      <sz val="10"/>
    </font>
    <font>
      <name val="Calibri"/>
      <b val="1"/>
      <sz val="11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/>
    </xf>
    <xf numFmtId="0" fontId="9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0" fillId="4" borderId="1" pivotButton="0" quotePrefix="0" xfId="0"/>
    <xf numFmtId="0" fontId="10" fillId="5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 indent="2"/>
    </xf>
    <xf numFmtId="0" fontId="10" fillId="0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7" fillId="2" borderId="1" pivotButton="0" quotePrefix="0" xfId="0"/>
    <xf numFmtId="3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96" customWidth="1" min="3" max="3"/>
  </cols>
  <sheetData>
    <row r="1">
      <c r="A1" s="1" t="inlineStr">
        <is>
          <t>Отказоустойчивый кластер телефонии на шесть регионов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Дата начала работ</t>
        </is>
      </c>
      <c r="B5" s="5" t="n">
        <v>46272</v>
      </c>
      <c r="C5" s="4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13 недель не входят и идут до них.</t>
        </is>
      </c>
    </row>
    <row r="6">
      <c r="A6" s="4" t="inlineStr">
        <is>
          <t>Длительность, недель</t>
        </is>
      </c>
      <c r="B6" s="4" t="n">
        <v>13</v>
      </c>
      <c r="C6" s="4" t="inlineStr">
        <is>
          <t>План внедрения, docs/12-rollout-schedule.md</t>
        </is>
      </c>
    </row>
    <row r="7">
      <c r="A7" s="4" t="inlineStr">
        <is>
          <t>Дата завершения работ</t>
        </is>
      </c>
      <c r="B7" s="5" t="n">
        <v>46360</v>
      </c>
      <c r="C7" s="4" t="inlineStr">
        <is>
          <t>Дата начала + 13 недель, последний рабочий день</t>
        </is>
      </c>
    </row>
    <row r="8">
      <c r="A8" s="4" t="inlineStr">
        <is>
          <t>Трудозатраты всего, ч-д</t>
        </is>
      </c>
      <c r="B8" s="4" t="n">
        <v>85</v>
      </c>
      <c r="C8" s="4" t="inlineStr">
        <is>
          <t>Сумма по этапам, см. лист плана</t>
        </is>
      </c>
    </row>
    <row r="9">
      <c r="A9" s="4" t="inlineStr">
        <is>
          <t xml:space="preserve">  в том числе инженер кластера</t>
        </is>
      </c>
      <c r="B9" s="4" t="n">
        <v>56</v>
      </c>
      <c r="C9" s="4" t="inlineStr">
        <is>
          <t>Этапы 1–7. Помещается в 13 недель × 5 дней = 65 ч-д одного человека.</t>
        </is>
      </c>
    </row>
    <row r="10">
      <c r="A10" s="4" t="inlineStr">
        <is>
          <t xml:space="preserve">  в том числе второй исполнитель</t>
        </is>
      </c>
      <c r="B10" s="4" t="n">
        <v>29</v>
      </c>
      <c r="C10" s="4" t="inlineStr">
        <is>
          <t>Этапы 8–9 (консолидация мелких АТС и перенумерация) — работа организационная, идёт параллельно силами второго человека с частичной занятостью. Одним инженером 85 ч-д за 13 недель не выполняются, это ограничение плана, а не оценка.</t>
        </is>
      </c>
    </row>
    <row r="11">
      <c r="A11" s="4" t="inlineStr">
        <is>
          <t>Внутренняя ставка, ₽/ч-д</t>
        </is>
      </c>
      <c r="B11" s="4" t="n">
        <v>11515</v>
      </c>
      <c r="C11" s="4" t="inlineStr">
        <is>
          <t>Из формулы =11515*M4 в файле «План работ ДИТ 2023.xlsx», колонка «Плановая себестоимость внутренних затрат».</t>
        </is>
      </c>
    </row>
    <row r="12">
      <c r="A12" s="4" t="inlineStr">
        <is>
          <t>Плановая себестоимость внутренних затрат, ₽ без НДС</t>
        </is>
      </c>
      <c r="B12" s="6">
        <f>B8*B11</f>
        <v>978775</v>
      </c>
      <c r="C12" s="4" t="inlineStr">
        <is>
          <t>Трудозатраты × ставка, рассчитывается формулой</t>
        </is>
      </c>
    </row>
    <row r="13">
      <c r="A13" s="4" t="inlineStr">
        <is>
          <t>Плановая себестоимость внешних затрат, ₽ без НДС</t>
        </is>
      </c>
      <c r="B13" s="6" t="n">
        <v>0</v>
      </c>
      <c r="C13" s="4" t="inlineStr">
        <is>
          <t>Всё программное обеспечение бесплатное: MariaDB Galera, Asterisk, FreePBX, OSS PBX End Point Manager. Сервер под московский узел проходит закупкой, в себестоимость работ не входит — как и во всех строках исходного плана ДИТ.</t>
        </is>
      </c>
    </row>
    <row r="14">
      <c r="A14" s="4" t="inlineStr">
        <is>
          <t>Абонентов в периметре</t>
        </is>
      </c>
      <c r="B14" s="4" t="n">
        <v>1255</v>
      </c>
      <c r="C14" s="4" t="inlineStr">
        <is>
          <t>Аудит 12 станций, docs/plan/numbering-plan.csv</t>
        </is>
      </c>
    </row>
    <row r="15">
      <c r="A15" s="4" t="inlineStr">
        <is>
          <t>Станций сейчас</t>
        </is>
      </c>
      <c r="B15" s="4" t="n">
        <v>12</v>
      </c>
      <c r="C15" s="4" t="inlineStr">
        <is>
          <t>Там же</t>
        </is>
      </c>
    </row>
    <row r="16">
      <c r="A16" s="4" t="inlineStr">
        <is>
          <t>Узлов кластера после внедрения</t>
        </is>
      </c>
      <c r="B16" s="4" t="n">
        <v>5</v>
      </c>
      <c r="C16" s="4" t="inlineStr">
        <is>
          <t>Ростов (мастер) 426, Воронеж 445, Нижний Новгород 164, Славянск-на-Кубани 140, Москва 80. Сумма 1255 сходится с аудитом.</t>
        </is>
      </c>
    </row>
    <row r="17">
      <c r="A17" s="4" t="inlineStr">
        <is>
          <t>Голосов в кворуме</t>
        </is>
      </c>
      <c r="B17" s="4" t="n">
        <v>5</v>
      </c>
      <c r="C17" s="4" t="inlineStr">
        <is>
          <t>Пять узлов, число нечётное — отдельный арбитр не нужен. Кластер переживает потерю двух узлов из пяти.</t>
        </is>
      </c>
    </row>
    <row r="18">
      <c r="A18" s="4" t="inlineStr">
        <is>
          <t>Серверов нужно докупить</t>
        </is>
      </c>
      <c r="B18" s="4" t="n">
        <v>1</v>
      </c>
      <c r="C18" s="4" t="inlineStr">
        <is>
          <t>ДОПУЩЕНИЕ: «у нас 5 серверов» прочитано как пять узлов кластера. Четыре площадки уже имеют свои машины, новый сервер нужен только под Москву. Ставрополь (74 абонента) остаётся на ростовском сервере, как сейчас.</t>
        </is>
      </c>
    </row>
    <row r="19">
      <c r="A19" s="4" t="inlineStr">
        <is>
          <t>Резервный мастер отдельной машиной</t>
        </is>
      </c>
      <c r="B19" s="4" t="inlineStr">
        <is>
          <t>нет</t>
        </is>
      </c>
      <c r="C19" s="4" t="inlineStr">
        <is>
          <t>Пятый сервер занят московским узлом. Отдельная машина под тёплый резерв не требуется: каждый узел — клон мастера, FreePBX на нём уже установлен и только отключён, поэтому роль мастера передаётся на любой рабочий узел. Процедура отрабатывается на этапе 7 учебно.</t>
        </is>
      </c>
    </row>
    <row r="24">
      <c r="A24" s="7" t="inlineStr">
        <is>
          <t>Что нужно заполнить вручную</t>
        </is>
      </c>
    </row>
    <row r="25">
      <c r="A25" s="8" t="inlineStr">
        <is>
          <t>Заказчик</t>
        </is>
      </c>
      <c r="C25" s="9" t="inlineStr">
        <is>
          <t>Руководитель, от которого идёт задача. Формат «И. Фамилия».</t>
        </is>
      </c>
    </row>
    <row r="26">
      <c r="A26" s="8" t="inlineStr">
        <is>
          <t>Исполнитель</t>
        </is>
      </c>
      <c r="C26" s="9" t="inlineStr">
        <is>
          <t>Инженер проекта и ответственные за стадии. Формат «И. Фамилия».</t>
        </is>
      </c>
    </row>
    <row r="27">
      <c r="A27" s="8" t="inlineStr">
        <is>
          <t>Номер приказа / внутреннего проекта</t>
        </is>
      </c>
      <c r="C27" s="9" t="inlineStr">
        <is>
          <t>Присваивается при открытии проекта.</t>
        </is>
      </c>
    </row>
    <row r="28">
      <c r="A28" s="8" t="inlineStr">
        <is>
          <t>IP-адреса Славянска-на-Кубани и локального PBX</t>
        </is>
      </c>
      <c r="C28" s="9" t="inlineStr">
        <is>
          <t>В исходных данных аудита отсутствуют, запрашиваются в первую неделю.</t>
        </is>
      </c>
    </row>
    <row r="31">
      <c r="A31" s="10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0"/>
  <sheetViews>
    <sheetView zoomScale="8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7" customWidth="1" min="1" max="1"/>
    <col width="44" customWidth="1" min="2" max="2"/>
    <col width="17" customWidth="1" min="3" max="3"/>
    <col width="16.6" customWidth="1" min="4" max="4"/>
    <col width="12.7" customWidth="1" min="5" max="5"/>
    <col width="12.4" customWidth="1" min="6" max="6"/>
    <col width="14.6" customWidth="1" min="7" max="7"/>
    <col width="14.3" customWidth="1" min="8" max="8"/>
    <col width="42" customWidth="1" min="9" max="9"/>
    <col width="42" customWidth="1" min="10" max="10"/>
    <col width="17.1" customWidth="1" min="11" max="11"/>
    <col width="14" customWidth="1" min="12" max="12"/>
    <col width="8.5" customWidth="1" min="13" max="13"/>
    <col width="16.3" customWidth="1" min="14" max="14"/>
    <col width="15.6" customWidth="1" min="15" max="15"/>
    <col width="6.6" customWidth="1" min="16" max="16"/>
    <col width="6.6" customWidth="1" min="17" max="17"/>
    <col width="6.6" customWidth="1" min="18" max="18"/>
    <col width="6.6" customWidth="1" min="19" max="19"/>
    <col width="6.6" customWidth="1" min="20" max="20"/>
    <col width="6.6" customWidth="1" min="21" max="21"/>
    <col width="6.6" customWidth="1" min="22" max="22"/>
    <col width="6.6" customWidth="1" min="23" max="23"/>
    <col width="6.6" customWidth="1" min="24" max="24"/>
    <col width="6.6" customWidth="1" min="25" max="25"/>
    <col width="6.6" customWidth="1" min="26" max="26"/>
    <col width="6.6" customWidth="1" min="27" max="27"/>
    <col width="6.6" customWidth="1" min="28" max="28"/>
  </cols>
  <sheetData>
    <row r="1">
      <c r="B1" s="11" t="inlineStr">
        <is>
          <t>Отказоустойчивый кластер телефонии на шесть регионов (Ростов, Воронеж, Краснодар, Нижний Новгород, Москва, Ставрополь)</t>
        </is>
      </c>
      <c r="P1" s="12" t="inlineStr">
        <is>
          <t>Сентябрь 2026</t>
        </is>
      </c>
      <c r="T1" s="12" t="inlineStr">
        <is>
          <t>Октябрь 2026</t>
        </is>
      </c>
      <c r="X1" s="12" t="inlineStr">
        <is>
          <t>Ноябрь 2026</t>
        </is>
      </c>
    </row>
    <row r="2" ht="46" customHeight="1">
      <c r="A2" s="13" t="inlineStr">
        <is>
          <t>№</t>
        </is>
      </c>
      <c r="B2" s="13" t="inlineStr">
        <is>
          <t>Название задачи</t>
        </is>
      </c>
      <c r="C2" s="13" t="inlineStr">
        <is>
          <t>Категория активности</t>
        </is>
      </c>
      <c r="D2" s="13" t="inlineStr">
        <is>
          <t>Программа</t>
        </is>
      </c>
      <c r="E2" s="13" t="inlineStr">
        <is>
          <t>Заказчик</t>
        </is>
      </c>
      <c r="F2" s="13" t="inlineStr">
        <is>
          <t>Плановые сроки начала</t>
        </is>
      </c>
      <c r="G2" s="13" t="inlineStr">
        <is>
          <t>Плановые сроки завершения</t>
        </is>
      </c>
      <c r="H2" s="13" t="inlineStr">
        <is>
          <t>Фактические/прогнозные сроки завершения</t>
        </is>
      </c>
      <c r="I2" s="13" t="inlineStr">
        <is>
          <t>Проблема</t>
        </is>
      </c>
      <c r="J2" s="13" t="inlineStr">
        <is>
          <t>Результат</t>
        </is>
      </c>
      <c r="K2" s="13" t="inlineStr">
        <is>
          <t>Исполнитель</t>
        </is>
      </c>
      <c r="L2" s="13" t="inlineStr">
        <is>
          <t>Статус</t>
        </is>
      </c>
      <c r="M2" s="13" t="inlineStr">
        <is>
          <t>ТРЗ, ч/д</t>
        </is>
      </c>
      <c r="N2" s="13" t="inlineStr">
        <is>
          <t>Плановая себестоимость внутренних затрат (ТРЗ), руб. без НДС</t>
        </is>
      </c>
      <c r="O2" s="13" t="inlineStr">
        <is>
          <t>Плановая себестоимость внешних затрат, руб. без НДС</t>
        </is>
      </c>
      <c r="P2" s="14" t="inlineStr">
        <is>
          <t>07-13</t>
        </is>
      </c>
      <c r="Q2" s="14" t="inlineStr">
        <is>
          <t>14-20</t>
        </is>
      </c>
      <c r="R2" s="14" t="inlineStr">
        <is>
          <t>21-27</t>
        </is>
      </c>
      <c r="S2" s="14" t="inlineStr">
        <is>
          <t>28-04</t>
        </is>
      </c>
      <c r="T2" s="14" t="inlineStr">
        <is>
          <t>05-11</t>
        </is>
      </c>
      <c r="U2" s="14" t="inlineStr">
        <is>
          <t>12-18</t>
        </is>
      </c>
      <c r="V2" s="14" t="inlineStr">
        <is>
          <t>19-25</t>
        </is>
      </c>
      <c r="W2" s="14" t="inlineStr">
        <is>
          <t>26-01</t>
        </is>
      </c>
      <c r="X2" s="14" t="inlineStr">
        <is>
          <t>02-08</t>
        </is>
      </c>
      <c r="Y2" s="14" t="inlineStr">
        <is>
          <t>09-15</t>
        </is>
      </c>
      <c r="Z2" s="14" t="inlineStr">
        <is>
          <t>16-22</t>
        </is>
      </c>
      <c r="AA2" s="14" t="inlineStr">
        <is>
          <t>23-29</t>
        </is>
      </c>
      <c r="AB2" s="14" t="inlineStr">
        <is>
          <t>30-06</t>
        </is>
      </c>
    </row>
    <row r="3">
      <c r="A3" s="15" t="inlineStr">
        <is>
          <t>1</t>
        </is>
      </c>
      <c r="B3" s="15" t="inlineStr">
        <is>
          <t>Подготовка: сеть, серверы, договорённости с операторами</t>
        </is>
      </c>
      <c r="C3" s="15" t="inlineStr">
        <is>
          <t>развитие</t>
        </is>
      </c>
      <c r="D3" s="15" t="inlineStr">
        <is>
          <t>Инфраструктура</t>
        </is>
      </c>
      <c r="E3" s="16" t="n"/>
      <c r="F3" s="17">
        <f>Параметры!$B$5+0</f>
        <v>46272</v>
      </c>
      <c r="G3" s="17">
        <f>Параметры!$B$5+11</f>
        <v>46283</v>
      </c>
      <c r="H3" s="17">
        <f>G3</f>
        <v>46283</v>
      </c>
      <c r="I3" s="15" t="inlineStr">
        <is>
          <t>Пять площадок не связаны между собой сетью; у операторов нет отдельных учётных записей на каждую площадку</t>
        </is>
      </c>
      <c r="J3" s="15" t="inlineStr">
        <is>
          <t>VPN между площадками поднят, RTT измерен и зафиксирован, пятый сервер под Москву получен, у каждой площадки свой SIP-пользователь ВАТС</t>
        </is>
      </c>
      <c r="K3" s="16" t="n"/>
      <c r="L3" s="15" t="inlineStr">
        <is>
          <t>планируется</t>
        </is>
      </c>
      <c r="M3" s="15" t="n">
        <v>8</v>
      </c>
      <c r="N3" s="18">
        <f>Параметры!$B$11*M3</f>
        <v>92120</v>
      </c>
      <c r="O3" s="18" t="n">
        <v>0</v>
      </c>
      <c r="P3" s="19" t="n"/>
      <c r="Q3" s="19" t="n"/>
    </row>
    <row r="4">
      <c r="A4" s="20" t="inlineStr">
        <is>
          <t>1.1</t>
        </is>
      </c>
      <c r="B4" s="21" t="inlineStr">
        <is>
          <t>Утвердить единый план нумерации, разослать сотрудникам новые номера</t>
        </is>
      </c>
      <c r="C4" s="22" t="n"/>
      <c r="D4" s="22" t="n"/>
      <c r="E4" s="22" t="n"/>
      <c r="F4" s="23">
        <f>Параметры!$B$5+0</f>
        <v>46272</v>
      </c>
      <c r="G4" s="23">
        <f>Параметры!$B$5+4</f>
        <v>46276</v>
      </c>
      <c r="H4" s="22" t="n"/>
      <c r="I4" s="22" t="n"/>
      <c r="J4" s="22" t="inlineStr">
        <is>
          <t>План нумерации утверждён, уведомления разосланы</t>
        </is>
      </c>
      <c r="K4" s="24" t="n"/>
      <c r="L4" s="22" t="inlineStr">
        <is>
          <t>планируется</t>
        </is>
      </c>
      <c r="M4" s="22" t="n">
        <v>1</v>
      </c>
      <c r="N4" s="22" t="n"/>
      <c r="O4" s="22" t="n"/>
      <c r="P4" s="19" t="n"/>
    </row>
    <row r="5">
      <c r="A5" s="20" t="inlineStr">
        <is>
          <t>1.2</t>
        </is>
      </c>
      <c r="B5" s="21" t="inlineStr">
        <is>
          <t>Организовать site-to-site VPN между пятью площадками</t>
        </is>
      </c>
      <c r="C5" s="22" t="n"/>
      <c r="D5" s="22" t="n"/>
      <c r="E5" s="22" t="n"/>
      <c r="F5" s="23">
        <f>Параметры!$B$5+0</f>
        <v>46272</v>
      </c>
      <c r="G5" s="23">
        <f>Параметры!$B$5+11</f>
        <v>46283</v>
      </c>
      <c r="H5" s="22" t="n"/>
      <c r="I5" s="22" t="n"/>
      <c r="J5" s="22" t="inlineStr">
        <is>
          <t>Сеть между площадками работает</t>
        </is>
      </c>
      <c r="K5" s="24" t="n"/>
      <c r="L5" s="22" t="inlineStr">
        <is>
          <t>планируется</t>
        </is>
      </c>
      <c r="M5" s="22" t="n">
        <v>2</v>
      </c>
      <c r="N5" s="22" t="n"/>
      <c r="O5" s="22" t="n"/>
      <c r="P5" s="19" t="n"/>
      <c r="Q5" s="19" t="n"/>
    </row>
    <row r="6">
      <c r="A6" s="20" t="inlineStr">
        <is>
          <t>1.3</t>
        </is>
      </c>
      <c r="B6" s="21" t="inlineStr">
        <is>
          <t>Замерить RTT и потери между всеми парами площадок</t>
        </is>
      </c>
      <c r="C6" s="22" t="n"/>
      <c r="D6" s="22" t="n"/>
      <c r="E6" s="22" t="n"/>
      <c r="F6" s="23">
        <f>Параметры!$B$5+7</f>
        <v>46279</v>
      </c>
      <c r="G6" s="23">
        <f>Параметры!$B$5+11</f>
        <v>46283</v>
      </c>
      <c r="H6" s="22" t="n"/>
      <c r="I6" s="22" t="n"/>
      <c r="J6" s="22" t="inlineStr">
        <is>
          <t>Замеры выполнены; площадки с RTT выше 50 мс исключены из синхронной репликации</t>
        </is>
      </c>
      <c r="K6" s="24" t="n"/>
      <c r="L6" s="22" t="inlineStr">
        <is>
          <t>планируется</t>
        </is>
      </c>
      <c r="M6" s="22" t="n">
        <v>1</v>
      </c>
      <c r="N6" s="22" t="n"/>
      <c r="O6" s="22" t="n"/>
      <c r="Q6" s="19" t="n"/>
    </row>
    <row r="7">
      <c r="A7" s="20" t="inlineStr">
        <is>
          <t>1.4</t>
        </is>
      </c>
      <c r="B7" s="21" t="inlineStr">
        <is>
          <t>Получить IP-адреса Славянска-на-Кубани и локального PBX</t>
        </is>
      </c>
      <c r="C7" s="22" t="n"/>
      <c r="D7" s="22" t="n"/>
      <c r="E7" s="22" t="n"/>
      <c r="F7" s="23">
        <f>Параметры!$B$5+0</f>
        <v>46272</v>
      </c>
      <c r="G7" s="23">
        <f>Параметры!$B$5+4</f>
        <v>46276</v>
      </c>
      <c r="H7" s="22" t="n"/>
      <c r="I7" s="22" t="n"/>
      <c r="J7" s="22" t="inlineStr">
        <is>
          <t>Адреса получены</t>
        </is>
      </c>
      <c r="K7" s="24" t="n"/>
      <c r="L7" s="22" t="inlineStr">
        <is>
          <t>планируется</t>
        </is>
      </c>
      <c r="M7" s="22" t="n">
        <v>1</v>
      </c>
      <c r="N7" s="22" t="n"/>
      <c r="O7" s="22" t="n"/>
      <c r="P7" s="19" t="n"/>
    </row>
    <row r="8">
      <c r="A8" s="20" t="inlineStr">
        <is>
          <t>1.5</t>
        </is>
      </c>
      <c r="B8" s="21" t="inlineStr">
        <is>
          <t>Подготовить сервер под московский узел</t>
        </is>
      </c>
      <c r="C8" s="22" t="n"/>
      <c r="D8" s="22" t="n"/>
      <c r="E8" s="22" t="n"/>
      <c r="F8" s="23">
        <f>Параметры!$B$5+0</f>
        <v>46272</v>
      </c>
      <c r="G8" s="23">
        <f>Параметры!$B$5+11</f>
        <v>46283</v>
      </c>
      <c r="H8" s="22" t="n"/>
      <c r="I8" s="22" t="n"/>
      <c r="J8" s="22" t="inlineStr">
        <is>
          <t>Сервер получен и доступен по сети</t>
        </is>
      </c>
      <c r="K8" s="24" t="n"/>
      <c r="L8" s="22" t="inlineStr">
        <is>
          <t>планируется</t>
        </is>
      </c>
      <c r="M8" s="22" t="n">
        <v>1</v>
      </c>
      <c r="N8" s="22" t="n"/>
      <c r="O8" s="22" t="n"/>
      <c r="P8" s="19" t="n"/>
      <c r="Q8" s="19" t="n"/>
    </row>
    <row r="9">
      <c r="A9" s="20" t="inlineStr">
        <is>
          <t>1.6</t>
        </is>
      </c>
      <c r="B9" s="21" t="inlineStr">
        <is>
          <t>Получить у операторов SIP-пользователей ВАТС на каждую площадку</t>
        </is>
      </c>
      <c r="C9" s="22" t="n"/>
      <c r="D9" s="22" t="n"/>
      <c r="E9" s="22" t="n"/>
      <c r="F9" s="23">
        <f>Параметры!$B$5+0</f>
        <v>46272</v>
      </c>
      <c r="G9" s="23">
        <f>Параметры!$B$5+11</f>
        <v>46283</v>
      </c>
      <c r="H9" s="22" t="n"/>
      <c r="I9" s="22" t="n"/>
      <c r="J9" s="22" t="inlineStr">
        <is>
          <t>Учётные записи получены на все пять площадок</t>
        </is>
      </c>
      <c r="K9" s="24" t="n"/>
      <c r="L9" s="22" t="inlineStr">
        <is>
          <t>планируется</t>
        </is>
      </c>
      <c r="M9" s="22" t="n">
        <v>2</v>
      </c>
      <c r="N9" s="22" t="n"/>
      <c r="O9" s="22" t="n"/>
      <c r="P9" s="19" t="n"/>
      <c r="Q9" s="19" t="n"/>
    </row>
    <row r="10">
      <c r="A10" s="15" t="inlineStr">
        <is>
          <t>2</t>
        </is>
      </c>
      <c r="B10" s="15" t="inlineStr">
        <is>
          <t>Смена учётных данных и защита периметра</t>
        </is>
      </c>
      <c r="C10" s="15" t="inlineStr">
        <is>
          <t>развитие</t>
        </is>
      </c>
      <c r="D10" s="15" t="inlineStr">
        <is>
          <t>Инфраструктура</t>
        </is>
      </c>
      <c r="E10" s="16" t="n"/>
      <c r="F10" s="17">
        <f>Параметры!$B$5+0</f>
        <v>46272</v>
      </c>
      <c r="G10" s="17">
        <f>Параметры!$B$5+11</f>
        <v>46283</v>
      </c>
      <c r="H10" s="17">
        <f>G10</f>
        <v>46283</v>
      </c>
      <c r="I10" s="15" t="inlineStr">
        <is>
          <t>Учётные данные телефонии не менялись; журнал безопасности Asterisk не ведётся, подбор паролей не отслеживается</t>
        </is>
      </c>
      <c r="J10" s="15" t="inlineStr">
        <is>
          <t>Пароли 444 абонентов, транков, AMI и базы данных сменены; включён журнал безопасности и блокировка подбора; восстановление из резервной копии проверено</t>
        </is>
      </c>
      <c r="K10" s="16" t="n"/>
      <c r="L10" s="15" t="inlineStr">
        <is>
          <t>планируется</t>
        </is>
      </c>
      <c r="M10" s="15" t="n">
        <v>10</v>
      </c>
      <c r="N10" s="18">
        <f>Параметры!$B$11*M10</f>
        <v>115150</v>
      </c>
      <c r="O10" s="18" t="n">
        <v>0</v>
      </c>
      <c r="P10" s="19" t="n"/>
      <c r="Q10" s="19" t="n"/>
    </row>
    <row r="11">
      <c r="A11" s="20" t="inlineStr">
        <is>
          <t>2.1</t>
        </is>
      </c>
      <c r="B11" s="21" t="inlineStr">
        <is>
          <t>Включить журнал безопасности, fail2ban, ограничить доступ к AMI</t>
        </is>
      </c>
      <c r="C11" s="22" t="n"/>
      <c r="D11" s="22" t="n"/>
      <c r="E11" s="22" t="n"/>
      <c r="F11" s="23">
        <f>Параметры!$B$5+0</f>
        <v>46272</v>
      </c>
      <c r="G11" s="23">
        <f>Параметры!$B$5+4</f>
        <v>46276</v>
      </c>
      <c r="H11" s="22" t="n"/>
      <c r="I11" s="22" t="n"/>
      <c r="J11" s="22" t="inlineStr">
        <is>
          <t>Попытки подбора фиксируются и блокируются</t>
        </is>
      </c>
      <c r="K11" s="24" t="n"/>
      <c r="L11" s="22" t="inlineStr">
        <is>
          <t>планируется</t>
        </is>
      </c>
      <c r="M11" s="22" t="n">
        <v>2</v>
      </c>
      <c r="N11" s="22" t="n"/>
      <c r="O11" s="22" t="n"/>
      <c r="P11" s="19" t="n"/>
    </row>
    <row r="12">
      <c r="A12" s="20" t="inlineStr">
        <is>
          <t>2.2</t>
        </is>
      </c>
      <c r="B12" s="21" t="inlineStr">
        <is>
          <t>Задать порядок идентификации абонентов и перечень кодеков</t>
        </is>
      </c>
      <c r="C12" s="22" t="n"/>
      <c r="D12" s="22" t="n"/>
      <c r="E12" s="22" t="n"/>
      <c r="F12" s="23">
        <f>Параметры!$B$5+0</f>
        <v>46272</v>
      </c>
      <c r="G12" s="23">
        <f>Параметры!$B$5+4</f>
        <v>46276</v>
      </c>
      <c r="H12" s="22" t="n"/>
      <c r="I12" s="22" t="n"/>
      <c r="J12" s="22" t="inlineStr">
        <is>
          <t>Идентификация по учётной записи, alaw первым кодеком</t>
        </is>
      </c>
      <c r="K12" s="24" t="n"/>
      <c r="L12" s="22" t="inlineStr">
        <is>
          <t>планируется</t>
        </is>
      </c>
      <c r="M12" s="22" t="n">
        <v>1</v>
      </c>
      <c r="N12" s="22" t="n"/>
      <c r="O12" s="22" t="n"/>
      <c r="P12" s="19" t="n"/>
    </row>
    <row r="13">
      <c r="A13" s="20" t="inlineStr">
        <is>
          <t>2.3</t>
        </is>
      </c>
      <c r="B13" s="21" t="inlineStr">
        <is>
          <t>Сменить пароли 444 абонентов</t>
        </is>
      </c>
      <c r="C13" s="22" t="n"/>
      <c r="D13" s="22" t="n"/>
      <c r="E13" s="22" t="n"/>
      <c r="F13" s="23">
        <f>Параметры!$B$5+0</f>
        <v>46272</v>
      </c>
      <c r="G13" s="23">
        <f>Параметры!$B$5+11</f>
        <v>46283</v>
      </c>
      <c r="H13" s="22" t="n"/>
      <c r="I13" s="22" t="n"/>
      <c r="J13" s="22" t="inlineStr">
        <is>
          <t>Пароли сменены</t>
        </is>
      </c>
      <c r="K13" s="24" t="n"/>
      <c r="L13" s="22" t="inlineStr">
        <is>
          <t>планируется</t>
        </is>
      </c>
      <c r="M13" s="22" t="n">
        <v>3</v>
      </c>
      <c r="N13" s="22" t="n"/>
      <c r="O13" s="22" t="n"/>
      <c r="P13" s="19" t="n"/>
      <c r="Q13" s="19" t="n"/>
    </row>
    <row r="14">
      <c r="A14" s="20" t="inlineStr">
        <is>
          <t>2.4</t>
        </is>
      </c>
      <c r="B14" s="21" t="inlineStr">
        <is>
          <t>Сменить учётные данные транков, AMI и базы данных</t>
        </is>
      </c>
      <c r="C14" s="22" t="n"/>
      <c r="D14" s="22" t="n"/>
      <c r="E14" s="22" t="n"/>
      <c r="F14" s="23">
        <f>Параметры!$B$5+7</f>
        <v>46279</v>
      </c>
      <c r="G14" s="23">
        <f>Параметры!$B$5+11</f>
        <v>46283</v>
      </c>
      <c r="H14" s="22" t="n"/>
      <c r="I14" s="22" t="n"/>
      <c r="J14" s="22" t="inlineStr">
        <is>
          <t>Учётные данные сменены</t>
        </is>
      </c>
      <c r="K14" s="24" t="n"/>
      <c r="L14" s="22" t="inlineStr">
        <is>
          <t>планируется</t>
        </is>
      </c>
      <c r="M14" s="22" t="n">
        <v>2</v>
      </c>
      <c r="N14" s="22" t="n"/>
      <c r="O14" s="22" t="n"/>
      <c r="Q14" s="19" t="n"/>
    </row>
    <row r="15">
      <c r="A15" s="20" t="inlineStr">
        <is>
          <t>2.5</t>
        </is>
      </c>
      <c r="B15" s="21" t="inlineStr">
        <is>
          <t>Пересобрать конфигурации телефонов</t>
        </is>
      </c>
      <c r="C15" s="22" t="n"/>
      <c r="D15" s="22" t="n"/>
      <c r="E15" s="22" t="n"/>
      <c r="F15" s="23">
        <f>Параметры!$B$5+7</f>
        <v>46279</v>
      </c>
      <c r="G15" s="23">
        <f>Параметры!$B$5+11</f>
        <v>46283</v>
      </c>
      <c r="H15" s="22" t="n"/>
      <c r="I15" s="22" t="n"/>
      <c r="J15" s="22" t="inlineStr">
        <is>
          <t>Телефоны работают с новыми паролями</t>
        </is>
      </c>
      <c r="K15" s="24" t="n"/>
      <c r="L15" s="22" t="inlineStr">
        <is>
          <t>планируется</t>
        </is>
      </c>
      <c r="M15" s="22" t="n">
        <v>1</v>
      </c>
      <c r="N15" s="22" t="n"/>
      <c r="O15" s="22" t="n"/>
      <c r="Q15" s="19" t="n"/>
    </row>
    <row r="16">
      <c r="A16" s="20" t="inlineStr">
        <is>
          <t>2.6</t>
        </is>
      </c>
      <c r="B16" s="21" t="inlineStr">
        <is>
          <t>Проверить восстановление из резервной копии на тестовой машине</t>
        </is>
      </c>
      <c r="C16" s="22" t="n"/>
      <c r="D16" s="22" t="n"/>
      <c r="E16" s="22" t="n"/>
      <c r="F16" s="23">
        <f>Параметры!$B$5+7</f>
        <v>46279</v>
      </c>
      <c r="G16" s="23">
        <f>Параметры!$B$5+11</f>
        <v>46283</v>
      </c>
      <c r="H16" s="22" t="n"/>
      <c r="I16" s="22" t="n"/>
      <c r="J16" s="22" t="inlineStr">
        <is>
          <t>Копия развёрнута и проверена</t>
        </is>
      </c>
      <c r="K16" s="24" t="n"/>
      <c r="L16" s="22" t="inlineStr">
        <is>
          <t>планируется</t>
        </is>
      </c>
      <c r="M16" s="22" t="n">
        <v>1</v>
      </c>
      <c r="N16" s="22" t="n"/>
      <c r="O16" s="22" t="n"/>
      <c r="Q16" s="19" t="n"/>
    </row>
    <row r="17">
      <c r="A17" s="15" t="inlineStr">
        <is>
          <t>3</t>
        </is>
      </c>
      <c r="B17" s="15" t="inlineStr">
        <is>
          <t>Испытательный стенд</t>
        </is>
      </c>
      <c r="C17" s="15" t="inlineStr">
        <is>
          <t>развитие</t>
        </is>
      </c>
      <c r="D17" s="15" t="inlineStr">
        <is>
          <t>Инфраструктура</t>
        </is>
      </c>
      <c r="E17" s="16" t="n"/>
      <c r="F17" s="17">
        <f>Параметры!$B$5+14</f>
        <v>46286</v>
      </c>
      <c r="G17" s="17">
        <f>Параметры!$B$5+18</f>
        <v>46290</v>
      </c>
      <c r="H17" s="17">
        <f>G17</f>
        <v>46290</v>
      </c>
      <c r="I17" s="15" t="inlineStr">
        <is>
          <t>Процедуры восстановления кластера ни разу не выполнялись; способ развёртывания узла клонированием не проверен</t>
        </is>
      </c>
      <c r="J17" s="15" t="inlineStr">
        <is>
          <t>Стенд из двух машин прошёл чек-лист приёмки; восстановление кворума и передача роли мастера выполнены руками</t>
        </is>
      </c>
      <c r="K17" s="16" t="n"/>
      <c r="L17" s="15" t="inlineStr">
        <is>
          <t>планируется</t>
        </is>
      </c>
      <c r="M17" s="15" t="n">
        <v>6</v>
      </c>
      <c r="N17" s="18">
        <f>Параметры!$B$11*M17</f>
        <v>69090</v>
      </c>
      <c r="O17" s="18" t="n">
        <v>0</v>
      </c>
      <c r="R17" s="19" t="n"/>
    </row>
    <row r="18">
      <c r="A18" s="20" t="inlineStr">
        <is>
          <t>3.1</t>
        </is>
      </c>
      <c r="B18" s="21" t="inlineStr">
        <is>
          <t>Развернуть тестовый мастер и клонировать его в узел</t>
        </is>
      </c>
      <c r="C18" s="22" t="n"/>
      <c r="D18" s="22" t="n"/>
      <c r="E18" s="22" t="n"/>
      <c r="F18" s="23">
        <f>Параметры!$B$5+14</f>
        <v>46286</v>
      </c>
      <c r="G18" s="23">
        <f>Параметры!$B$5+18</f>
        <v>46290</v>
      </c>
      <c r="H18" s="22" t="n"/>
      <c r="I18" s="22" t="n"/>
      <c r="J18" s="22" t="inlineStr">
        <is>
          <t>Клон вступил в кластер, конфликтов имён узлов нет</t>
        </is>
      </c>
      <c r="K18" s="24" t="n"/>
      <c r="L18" s="22" t="inlineStr">
        <is>
          <t>планируется</t>
        </is>
      </c>
      <c r="M18" s="22" t="n">
        <v>3</v>
      </c>
      <c r="N18" s="22" t="n"/>
      <c r="O18" s="22" t="n"/>
      <c r="R18" s="19" t="n"/>
    </row>
    <row r="19">
      <c r="A19" s="20" t="inlineStr">
        <is>
          <t>3.2</t>
        </is>
      </c>
      <c r="B19" s="21" t="inlineStr">
        <is>
          <t>Прогнать чек-лист приёмки</t>
        </is>
      </c>
      <c r="C19" s="22" t="n"/>
      <c r="D19" s="22" t="n"/>
      <c r="E19" s="22" t="n"/>
      <c r="F19" s="23">
        <f>Параметры!$B$5+14</f>
        <v>46286</v>
      </c>
      <c r="G19" s="23">
        <f>Параметры!$B$5+18</f>
        <v>46290</v>
      </c>
      <c r="H19" s="22" t="n"/>
      <c r="I19" s="22" t="n"/>
      <c r="J19" s="22" t="inlineStr">
        <is>
          <t>Чек-лист пройден</t>
        </is>
      </c>
      <c r="K19" s="24" t="n"/>
      <c r="L19" s="22" t="inlineStr">
        <is>
          <t>планируется</t>
        </is>
      </c>
      <c r="M19" s="22" t="n">
        <v>1</v>
      </c>
      <c r="N19" s="22" t="n"/>
      <c r="O19" s="22" t="n"/>
      <c r="R19" s="19" t="n"/>
    </row>
    <row r="20">
      <c r="A20" s="20" t="inlineStr">
        <is>
          <t>3.3</t>
        </is>
      </c>
      <c r="B20" s="21" t="inlineStr">
        <is>
          <t>Отработать восстановление кворума и передачу роли мастера</t>
        </is>
      </c>
      <c r="C20" s="22" t="n"/>
      <c r="D20" s="22" t="n"/>
      <c r="E20" s="22" t="n"/>
      <c r="F20" s="23">
        <f>Параметры!$B$5+14</f>
        <v>46286</v>
      </c>
      <c r="G20" s="23">
        <f>Параметры!$B$5+18</f>
        <v>46290</v>
      </c>
      <c r="H20" s="22" t="n"/>
      <c r="I20" s="22" t="n"/>
      <c r="J20" s="22" t="inlineStr">
        <is>
          <t>Процедуры выполнены и задокументированы</t>
        </is>
      </c>
      <c r="K20" s="24" t="n"/>
      <c r="L20" s="22" t="inlineStr">
        <is>
          <t>планируется</t>
        </is>
      </c>
      <c r="M20" s="22" t="n">
        <v>2</v>
      </c>
      <c r="N20" s="22" t="n"/>
      <c r="O20" s="22" t="n"/>
      <c r="R20" s="19" t="n"/>
    </row>
    <row r="21">
      <c r="A21" s="15" t="inlineStr">
        <is>
          <t>4</t>
        </is>
      </c>
      <c r="B21" s="15" t="inlineStr">
        <is>
          <t>Перевод ростовской АТС в режим мастера кластера</t>
        </is>
      </c>
      <c r="C21" s="15" t="inlineStr">
        <is>
          <t>развитие</t>
        </is>
      </c>
      <c r="D21" s="15" t="inlineStr">
        <is>
          <t>Инфраструктура</t>
        </is>
      </c>
      <c r="E21" s="16" t="n"/>
      <c r="F21" s="17">
        <f>Параметры!$B$5+21</f>
        <v>46293</v>
      </c>
      <c r="G21" s="17">
        <f>Параметры!$B$5+25</f>
        <v>46297</v>
      </c>
      <c r="H21" s="17">
        <f>G21</f>
        <v>46297</v>
      </c>
      <c r="I21" s="15" t="inlineStr">
        <is>
          <t>Существующая АТС работает как отдельная станция и не может обслуживать площадки</t>
        </is>
      </c>
      <c r="J21" s="15" t="inlineStr">
        <is>
          <t>Ростовская АТС работает мастером кластера без переустановки; номера доступны площадкам через общую базу</t>
        </is>
      </c>
      <c r="K21" s="16" t="n"/>
      <c r="L21" s="15" t="inlineStr">
        <is>
          <t>планируется</t>
        </is>
      </c>
      <c r="M21" s="15" t="n">
        <v>4</v>
      </c>
      <c r="N21" s="18">
        <f>Параметры!$B$11*M21</f>
        <v>46060</v>
      </c>
      <c r="O21" s="18" t="n">
        <v>0</v>
      </c>
      <c r="S21" s="19" t="n"/>
    </row>
    <row r="22">
      <c r="A22" s="20" t="inlineStr">
        <is>
          <t>4.1</t>
        </is>
      </c>
      <c r="B22" s="21" t="inlineStr">
        <is>
          <t>Снять резервную копию, перевести таблицы и запустить репликацию</t>
        </is>
      </c>
      <c r="C22" s="22" t="n"/>
      <c r="D22" s="22" t="n"/>
      <c r="E22" s="22" t="n"/>
      <c r="F22" s="23">
        <f>Параметры!$B$5+21</f>
        <v>46293</v>
      </c>
      <c r="G22" s="23">
        <f>Параметры!$B$5+25</f>
        <v>46297</v>
      </c>
      <c r="H22" s="22" t="n"/>
      <c r="I22" s="22" t="n"/>
      <c r="J22" s="22" t="inlineStr">
        <is>
          <t>База работает в режиме кластера, число добавочных сошлось</t>
        </is>
      </c>
      <c r="K22" s="24" t="n"/>
      <c r="L22" s="22" t="inlineStr">
        <is>
          <t>планируется</t>
        </is>
      </c>
      <c r="M22" s="22" t="n">
        <v>2</v>
      </c>
      <c r="N22" s="22" t="n"/>
      <c r="O22" s="22" t="n"/>
      <c r="S22" s="19" t="n"/>
    </row>
    <row r="23">
      <c r="A23" s="20" t="inlineStr">
        <is>
          <t>4.2</t>
        </is>
      </c>
      <c r="B23" s="21" t="inlineStr">
        <is>
          <t>Выгрузить номера в общую базу и проверить</t>
        </is>
      </c>
      <c r="C23" s="22" t="n"/>
      <c r="D23" s="22" t="n"/>
      <c r="E23" s="22" t="n"/>
      <c r="F23" s="23">
        <f>Параметры!$B$5+21</f>
        <v>46293</v>
      </c>
      <c r="G23" s="23">
        <f>Параметры!$B$5+25</f>
        <v>46297</v>
      </c>
      <c r="H23" s="22" t="n"/>
      <c r="I23" s="22" t="n"/>
      <c r="J23" s="22" t="inlineStr">
        <is>
          <t>Абоненты видны из общей базы</t>
        </is>
      </c>
      <c r="K23" s="24" t="n"/>
      <c r="L23" s="22" t="inlineStr">
        <is>
          <t>планируется</t>
        </is>
      </c>
      <c r="M23" s="22" t="n">
        <v>1</v>
      </c>
      <c r="N23" s="22" t="n"/>
      <c r="O23" s="22" t="n"/>
      <c r="S23" s="19" t="n"/>
    </row>
    <row r="24">
      <c r="A24" s="20" t="inlineStr">
        <is>
          <t>4.3</t>
        </is>
      </c>
      <c r="B24" s="21" t="inlineStr">
        <is>
          <t>Наблюдение до ввода первой площадки</t>
        </is>
      </c>
      <c r="C24" s="22" t="n"/>
      <c r="D24" s="22" t="n"/>
      <c r="E24" s="22" t="n"/>
      <c r="F24" s="23">
        <f>Параметры!$B$5+21</f>
        <v>46293</v>
      </c>
      <c r="G24" s="23">
        <f>Параметры!$B$5+25</f>
        <v>46297</v>
      </c>
      <c r="H24" s="22" t="n"/>
      <c r="I24" s="22" t="n"/>
      <c r="J24" s="22" t="inlineStr">
        <is>
          <t>Отклонений не выявлено</t>
        </is>
      </c>
      <c r="K24" s="24" t="n"/>
      <c r="L24" s="22" t="inlineStr">
        <is>
          <t>планируется</t>
        </is>
      </c>
      <c r="M24" s="22" t="n">
        <v>1</v>
      </c>
      <c r="N24" s="22" t="n"/>
      <c r="O24" s="22" t="n"/>
      <c r="S24" s="19" t="n"/>
    </row>
    <row r="25">
      <c r="A25" s="15" t="inlineStr">
        <is>
          <t>5</t>
        </is>
      </c>
      <c r="B25" s="15" t="inlineStr">
        <is>
          <t>Первая площадка — Воронеж</t>
        </is>
      </c>
      <c r="C25" s="15" t="inlineStr">
        <is>
          <t>развитие</t>
        </is>
      </c>
      <c r="D25" s="15" t="inlineStr">
        <is>
          <t>Инфраструктура</t>
        </is>
      </c>
      <c r="E25" s="16" t="n"/>
      <c r="F25" s="17">
        <f>Параметры!$B$5+28</f>
        <v>46300</v>
      </c>
      <c r="G25" s="17">
        <f>Параметры!$B$5+39</f>
        <v>46311</v>
      </c>
      <c r="H25" s="17">
        <f>G25</f>
        <v>46311</v>
      </c>
      <c r="I25" s="15" t="inlineStr">
        <is>
          <t>Схема не проверена на реальной нагрузке и реальном канале</t>
        </is>
      </c>
      <c r="J25" s="15" t="inlineStr">
        <is>
          <t>Воронеж работает узлом кластера: локальная регистрация телефонов, свой выход в город, переключение на Ростов при отказе площадки</t>
        </is>
      </c>
      <c r="K25" s="16" t="n"/>
      <c r="L25" s="15" t="inlineStr">
        <is>
          <t>планируется</t>
        </is>
      </c>
      <c r="M25" s="15" t="n">
        <v>10</v>
      </c>
      <c r="N25" s="18">
        <f>Параметры!$B$11*M25</f>
        <v>115150</v>
      </c>
      <c r="O25" s="18" t="n">
        <v>0</v>
      </c>
      <c r="T25" s="19" t="n"/>
      <c r="U25" s="19" t="n"/>
    </row>
    <row r="26">
      <c r="A26" s="20" t="inlineStr">
        <is>
          <t>5.1</t>
        </is>
      </c>
      <c r="B26" s="21" t="inlineStr">
        <is>
          <t>Клонировать машину мастера и расшить клон в узел</t>
        </is>
      </c>
      <c r="C26" s="22" t="n"/>
      <c r="D26" s="22" t="n"/>
      <c r="E26" s="22" t="n"/>
      <c r="F26" s="23">
        <f>Параметры!$B$5+28</f>
        <v>46300</v>
      </c>
      <c r="G26" s="23">
        <f>Параметры!$B$5+32</f>
        <v>46304</v>
      </c>
      <c r="H26" s="22" t="n"/>
      <c r="I26" s="22" t="n"/>
      <c r="J26" s="22" t="inlineStr">
        <is>
          <t>Узел в кластере</t>
        </is>
      </c>
      <c r="K26" s="24" t="n"/>
      <c r="L26" s="22" t="inlineStr">
        <is>
          <t>планируется</t>
        </is>
      </c>
      <c r="M26" s="22" t="n">
        <v>2</v>
      </c>
      <c r="N26" s="22" t="n"/>
      <c r="O26" s="22" t="n"/>
      <c r="T26" s="19" t="n"/>
    </row>
    <row r="27">
      <c r="A27" s="20" t="inlineStr">
        <is>
          <t>5.2</t>
        </is>
      </c>
      <c r="B27" s="21" t="inlineStr">
        <is>
          <t>Настроить межузловые транки и перенести диалплан</t>
        </is>
      </c>
      <c r="C27" s="22" t="n"/>
      <c r="D27" s="22" t="n"/>
      <c r="E27" s="22" t="n"/>
      <c r="F27" s="23">
        <f>Параметры!$B$5+28</f>
        <v>46300</v>
      </c>
      <c r="G27" s="23">
        <f>Параметры!$B$5+32</f>
        <v>46304</v>
      </c>
      <c r="H27" s="22" t="n"/>
      <c r="I27" s="22" t="n"/>
      <c r="J27" s="22" t="inlineStr">
        <is>
          <t>Вызовы между Ростовом и Воронежем проходят</t>
        </is>
      </c>
      <c r="K27" s="24" t="n"/>
      <c r="L27" s="22" t="inlineStr">
        <is>
          <t>планируется</t>
        </is>
      </c>
      <c r="M27" s="22" t="n">
        <v>2</v>
      </c>
      <c r="N27" s="22" t="n"/>
      <c r="O27" s="22" t="n"/>
      <c r="T27" s="19" t="n"/>
    </row>
    <row r="28">
      <c r="A28" s="20" t="inlineStr">
        <is>
          <t>5.3</t>
        </is>
      </c>
      <c r="B28" s="21" t="inlineStr">
        <is>
          <t>Подключить локальный транк оператора</t>
        </is>
      </c>
      <c r="C28" s="22" t="n"/>
      <c r="D28" s="22" t="n"/>
      <c r="E28" s="22" t="n"/>
      <c r="F28" s="23">
        <f>Параметры!$B$5+28</f>
        <v>46300</v>
      </c>
      <c r="G28" s="23">
        <f>Параметры!$B$5+32</f>
        <v>46304</v>
      </c>
      <c r="H28" s="22" t="n"/>
      <c r="I28" s="22" t="n"/>
      <c r="J28" s="22" t="inlineStr">
        <is>
          <t>Свой выход в город работает</t>
        </is>
      </c>
      <c r="K28" s="24" t="n"/>
      <c r="L28" s="22" t="inlineStr">
        <is>
          <t>планируется</t>
        </is>
      </c>
      <c r="M28" s="22" t="n">
        <v>1</v>
      </c>
      <c r="N28" s="22" t="n"/>
      <c r="O28" s="22" t="n"/>
      <c r="T28" s="19" t="n"/>
    </row>
    <row r="29">
      <c r="A29" s="20" t="inlineStr">
        <is>
          <t>5.4</t>
        </is>
      </c>
      <c r="B29" s="21" t="inlineStr">
        <is>
          <t>Перевести телефоны на узел через провижининг</t>
        </is>
      </c>
      <c r="C29" s="22" t="n"/>
      <c r="D29" s="22" t="n"/>
      <c r="E29" s="22" t="n"/>
      <c r="F29" s="23">
        <f>Параметры!$B$5+28</f>
        <v>46300</v>
      </c>
      <c r="G29" s="23">
        <f>Параметры!$B$5+32</f>
        <v>46304</v>
      </c>
      <c r="H29" s="22" t="n"/>
      <c r="I29" s="22" t="n"/>
      <c r="J29" s="22" t="inlineStr">
        <is>
          <t>Телефоны регистрируются на площадке, резервный сервер — Ростов</t>
        </is>
      </c>
      <c r="K29" s="24" t="n"/>
      <c r="L29" s="22" t="inlineStr">
        <is>
          <t>планируется</t>
        </is>
      </c>
      <c r="M29" s="22" t="n">
        <v>2</v>
      </c>
      <c r="N29" s="22" t="n"/>
      <c r="O29" s="22" t="n"/>
      <c r="T29" s="19" t="n"/>
    </row>
    <row r="30">
      <c r="A30" s="20" t="inlineStr">
        <is>
          <t>5.5</t>
        </is>
      </c>
      <c r="B30" s="21" t="inlineStr">
        <is>
          <t>Неделя наблюдения под реальной нагрузкой</t>
        </is>
      </c>
      <c r="C30" s="22" t="n"/>
      <c r="D30" s="22" t="n"/>
      <c r="E30" s="22" t="n"/>
      <c r="F30" s="23">
        <f>Параметры!$B$5+35</f>
        <v>46307</v>
      </c>
      <c r="G30" s="23">
        <f>Параметры!$B$5+39</f>
        <v>46311</v>
      </c>
      <c r="H30" s="22" t="n"/>
      <c r="I30" s="22" t="n"/>
      <c r="J30" s="22" t="inlineStr">
        <is>
          <t>Отказ площадки и возврат отработаны, решение о тиражировании принято</t>
        </is>
      </c>
      <c r="K30" s="24" t="n"/>
      <c r="L30" s="22" t="inlineStr">
        <is>
          <t>планируется</t>
        </is>
      </c>
      <c r="M30" s="22" t="n">
        <v>3</v>
      </c>
      <c r="N30" s="22" t="n"/>
      <c r="O30" s="22" t="n"/>
      <c r="U30" s="19" t="n"/>
    </row>
    <row r="31">
      <c r="A31" s="15" t="inlineStr">
        <is>
          <t>6</t>
        </is>
      </c>
      <c r="B31" s="15" t="inlineStr">
        <is>
          <t>Тиражирование на три площадки</t>
        </is>
      </c>
      <c r="C31" s="15" t="inlineStr">
        <is>
          <t>развитие</t>
        </is>
      </c>
      <c r="D31" s="15" t="inlineStr">
        <is>
          <t>Инфраструктура</t>
        </is>
      </c>
      <c r="E31" s="16" t="n"/>
      <c r="F31" s="17">
        <f>Параметры!$B$5+42</f>
        <v>46314</v>
      </c>
      <c r="G31" s="17">
        <f>Параметры!$B$5+60</f>
        <v>46332</v>
      </c>
      <c r="H31" s="17">
        <f>G31</f>
        <v>46332</v>
      </c>
      <c r="I31" s="15" t="inlineStr">
        <is>
          <t>Три площадки обслуживаются разрозненными станциями либо удалённо из Ростова</t>
        </is>
      </c>
      <c r="J31" s="15" t="inlineStr">
        <is>
          <t>Все пять площадок работают узлами одного кластера, кворум нечётный</t>
        </is>
      </c>
      <c r="K31" s="16" t="n"/>
      <c r="L31" s="15" t="inlineStr">
        <is>
          <t>планируется</t>
        </is>
      </c>
      <c r="M31" s="15" t="n">
        <v>15</v>
      </c>
      <c r="N31" s="18">
        <f>Параметры!$B$11*M31</f>
        <v>172725</v>
      </c>
      <c r="O31" s="18" t="n">
        <v>0</v>
      </c>
      <c r="V31" s="19" t="n"/>
      <c r="W31" s="19" t="n"/>
      <c r="X31" s="19" t="n"/>
    </row>
    <row r="32">
      <c r="A32" s="20" t="inlineStr">
        <is>
          <t>6.1</t>
        </is>
      </c>
      <c r="B32" s="21" t="inlineStr">
        <is>
          <t>Нижний Новгород — 164 абонента</t>
        </is>
      </c>
      <c r="C32" s="22" t="n"/>
      <c r="D32" s="22" t="n"/>
      <c r="E32" s="22" t="n"/>
      <c r="F32" s="23">
        <f>Параметры!$B$5+42</f>
        <v>46314</v>
      </c>
      <c r="G32" s="23">
        <f>Параметры!$B$5+46</f>
        <v>46318</v>
      </c>
      <c r="H32" s="22" t="n"/>
      <c r="I32" s="22" t="n"/>
      <c r="J32" s="22" t="inlineStr">
        <is>
          <t>Узел работает</t>
        </is>
      </c>
      <c r="K32" s="24" t="n"/>
      <c r="L32" s="22" t="inlineStr">
        <is>
          <t>планируется</t>
        </is>
      </c>
      <c r="M32" s="22" t="n">
        <v>5</v>
      </c>
      <c r="N32" s="22" t="n"/>
      <c r="O32" s="22" t="n"/>
      <c r="V32" s="19" t="n"/>
    </row>
    <row r="33">
      <c r="A33" s="20" t="inlineStr">
        <is>
          <t>6.2</t>
        </is>
      </c>
      <c r="B33" s="21" t="inlineStr">
        <is>
          <t>Славянск-на-Кубани (Краснодар) — 140 абонентов</t>
        </is>
      </c>
      <c r="C33" s="22" t="n"/>
      <c r="D33" s="22" t="n"/>
      <c r="E33" s="22" t="n"/>
      <c r="F33" s="23">
        <f>Параметры!$B$5+49</f>
        <v>46321</v>
      </c>
      <c r="G33" s="23">
        <f>Параметры!$B$5+53</f>
        <v>46325</v>
      </c>
      <c r="H33" s="22" t="n"/>
      <c r="I33" s="22" t="n"/>
      <c r="J33" s="22" t="inlineStr">
        <is>
          <t>Узел работает</t>
        </is>
      </c>
      <c r="K33" s="24" t="n"/>
      <c r="L33" s="22" t="inlineStr">
        <is>
          <t>планируется</t>
        </is>
      </c>
      <c r="M33" s="22" t="n">
        <v>5</v>
      </c>
      <c r="N33" s="22" t="n"/>
      <c r="O33" s="22" t="n"/>
      <c r="W33" s="19" t="n"/>
    </row>
    <row r="34">
      <c r="A34" s="20" t="inlineStr">
        <is>
          <t>6.3</t>
        </is>
      </c>
      <c r="B34" s="21" t="inlineStr">
        <is>
          <t>Москва — 80 абонентов, новый узел вместо обслуживания из Ростова</t>
        </is>
      </c>
      <c r="C34" s="22" t="n"/>
      <c r="D34" s="22" t="n"/>
      <c r="E34" s="22" t="n"/>
      <c r="F34" s="23">
        <f>Параметры!$B$5+56</f>
        <v>46328</v>
      </c>
      <c r="G34" s="23">
        <f>Параметры!$B$5+60</f>
        <v>46332</v>
      </c>
      <c r="H34" s="22" t="n"/>
      <c r="I34" s="22" t="n"/>
      <c r="J34" s="22" t="inlineStr">
        <is>
          <t>Узел работает, абоненты переведены с Ростова и локального PBX</t>
        </is>
      </c>
      <c r="K34" s="24" t="n"/>
      <c r="L34" s="22" t="inlineStr">
        <is>
          <t>планируется</t>
        </is>
      </c>
      <c r="M34" s="22" t="n">
        <v>5</v>
      </c>
      <c r="N34" s="22" t="n"/>
      <c r="O34" s="22" t="n"/>
      <c r="X34" s="19" t="n"/>
    </row>
    <row r="35">
      <c r="A35" s="15" t="inlineStr">
        <is>
          <t>7</t>
        </is>
      </c>
      <c r="B35" s="15" t="inlineStr">
        <is>
          <t>Учебная передача роли мастера</t>
        </is>
      </c>
      <c r="C35" s="15" t="inlineStr">
        <is>
          <t>развитие</t>
        </is>
      </c>
      <c r="D35" s="15" t="inlineStr">
        <is>
          <t>Инфраструктура</t>
        </is>
      </c>
      <c r="E35" s="16" t="n"/>
      <c r="F35" s="17">
        <f>Параметры!$B$5+63</f>
        <v>46335</v>
      </c>
      <c r="G35" s="17">
        <f>Параметры!$B$5+67</f>
        <v>46339</v>
      </c>
      <c r="H35" s="17">
        <f>G35</f>
        <v>46339</v>
      </c>
      <c r="I35" s="15" t="inlineStr">
        <is>
          <t>Управление кластером сосредоточено на одном сервере, процедура замены не опробована</t>
        </is>
      </c>
      <c r="J35" s="15" t="inlineStr">
        <is>
          <t>Роль мастера передана на другой узел и возвращена обратно в согласованное окно</t>
        </is>
      </c>
      <c r="K35" s="16" t="n"/>
      <c r="L35" s="15" t="inlineStr">
        <is>
          <t>планируется</t>
        </is>
      </c>
      <c r="M35" s="15" t="n">
        <v>3</v>
      </c>
      <c r="N35" s="18">
        <f>Параметры!$B$11*M35</f>
        <v>34545</v>
      </c>
      <c r="O35" s="18" t="n">
        <v>0</v>
      </c>
      <c r="Y35" s="19" t="n"/>
    </row>
    <row r="36">
      <c r="A36" s="20" t="inlineStr">
        <is>
          <t>7.1</t>
        </is>
      </c>
      <c r="B36" s="21" t="inlineStr">
        <is>
          <t>Передать роль мастера на резервный узел</t>
        </is>
      </c>
      <c r="C36" s="22" t="n"/>
      <c r="D36" s="22" t="n"/>
      <c r="E36" s="22" t="n"/>
      <c r="F36" s="23">
        <f>Параметры!$B$5+63</f>
        <v>46335</v>
      </c>
      <c r="G36" s="23">
        <f>Параметры!$B$5+67</f>
        <v>46339</v>
      </c>
      <c r="H36" s="22" t="n"/>
      <c r="I36" s="22" t="n"/>
      <c r="J36" s="22" t="inlineStr">
        <is>
          <t>Управление и звонки работают с нового мастера</t>
        </is>
      </c>
      <c r="K36" s="24" t="n"/>
      <c r="L36" s="22" t="inlineStr">
        <is>
          <t>планируется</t>
        </is>
      </c>
      <c r="M36" s="22" t="n">
        <v>2</v>
      </c>
      <c r="N36" s="22" t="n"/>
      <c r="O36" s="22" t="n"/>
      <c r="Y36" s="19" t="n"/>
    </row>
    <row r="37">
      <c r="A37" s="20" t="inlineStr">
        <is>
          <t>7.2</t>
        </is>
      </c>
      <c r="B37" s="21" t="inlineStr">
        <is>
          <t>Вернуть роль обратно на Ростов</t>
        </is>
      </c>
      <c r="C37" s="22" t="n"/>
      <c r="D37" s="22" t="n"/>
      <c r="E37" s="22" t="n"/>
      <c r="F37" s="23">
        <f>Параметры!$B$5+63</f>
        <v>46335</v>
      </c>
      <c r="G37" s="23">
        <f>Параметры!$B$5+67</f>
        <v>46339</v>
      </c>
      <c r="H37" s="22" t="n"/>
      <c r="I37" s="22" t="n"/>
      <c r="J37" s="22" t="inlineStr">
        <is>
          <t>Схема возвращена в штатное состояние</t>
        </is>
      </c>
      <c r="K37" s="24" t="n"/>
      <c r="L37" s="22" t="inlineStr">
        <is>
          <t>планируется</t>
        </is>
      </c>
      <c r="M37" s="22" t="n">
        <v>1</v>
      </c>
      <c r="N37" s="22" t="n"/>
      <c r="O37" s="22" t="n"/>
      <c r="Y37" s="19" t="n"/>
    </row>
    <row r="38">
      <c r="A38" s="15" t="inlineStr">
        <is>
          <t>8</t>
        </is>
      </c>
      <c r="B38" s="15" t="inlineStr">
        <is>
          <t>Консолидация мелких АТС</t>
        </is>
      </c>
      <c r="C38" s="15" t="inlineStr">
        <is>
          <t>развитие</t>
        </is>
      </c>
      <c r="D38" s="15" t="inlineStr">
        <is>
          <t>Инфраструктура</t>
        </is>
      </c>
      <c r="E38" s="16" t="n"/>
      <c r="F38" s="17">
        <f>Параметры!$B$5+35</f>
        <v>46307</v>
      </c>
      <c r="G38" s="17">
        <f>Параметры!$B$5+81</f>
        <v>46353</v>
      </c>
      <c r="H38" s="17">
        <f>G38</f>
        <v>46353</v>
      </c>
      <c r="I38" s="15" t="inlineStr">
        <is>
          <t>Семь станций на 156 абонентов дорого поддерживать и невыгодно включать в кластер отдельными узлами</t>
        </is>
      </c>
      <c r="J38" s="15" t="inlineStr">
        <is>
          <t>Абоненты мелких станций переведены на узлы кластера, станции выведены из эксплуатации</t>
        </is>
      </c>
      <c r="K38" s="16" t="n"/>
      <c r="L38" s="15" t="inlineStr">
        <is>
          <t>планируется</t>
        </is>
      </c>
      <c r="M38" s="15" t="n">
        <v>14</v>
      </c>
      <c r="N38" s="18">
        <f>Параметры!$B$11*M38</f>
        <v>161210</v>
      </c>
      <c r="O38" s="18" t="n">
        <v>0</v>
      </c>
      <c r="U38" s="19" t="n"/>
      <c r="V38" s="19" t="n"/>
      <c r="W38" s="19" t="n"/>
      <c r="X38" s="19" t="n"/>
      <c r="Y38" s="19" t="n"/>
      <c r="Z38" s="19" t="n"/>
      <c r="AA38" s="19" t="n"/>
    </row>
    <row r="39">
      <c r="A39" s="20" t="inlineStr">
        <is>
          <t>8.1</t>
        </is>
      </c>
      <c r="B39" s="21" t="inlineStr">
        <is>
          <t>Мясокомбинат — 187 абонентов — в Воронеж</t>
        </is>
      </c>
      <c r="C39" s="22" t="n"/>
      <c r="D39" s="22" t="n"/>
      <c r="E39" s="22" t="n"/>
      <c r="F39" s="23">
        <f>Параметры!$B$5+35</f>
        <v>46307</v>
      </c>
      <c r="G39" s="23">
        <f>Параметры!$B$5+46</f>
        <v>46318</v>
      </c>
      <c r="H39" s="22" t="n"/>
      <c r="I39" s="22" t="n"/>
      <c r="J39" s="22" t="inlineStr">
        <is>
          <t>Станция выведена</t>
        </is>
      </c>
      <c r="K39" s="24" t="n"/>
      <c r="L39" s="22" t="inlineStr">
        <is>
          <t>планируется</t>
        </is>
      </c>
      <c r="M39" s="22" t="n">
        <v>4</v>
      </c>
      <c r="N39" s="22" t="n"/>
      <c r="O39" s="22" t="n"/>
      <c r="U39" s="19" t="n"/>
      <c r="V39" s="19" t="n"/>
    </row>
    <row r="40">
      <c r="A40" s="20" t="inlineStr">
        <is>
          <t>8.2</t>
        </is>
      </c>
      <c r="B40" s="21" t="inlineStr">
        <is>
          <t>Калуга — 29 абонентов — в Воронеж</t>
        </is>
      </c>
      <c r="C40" s="22" t="n"/>
      <c r="D40" s="22" t="n"/>
      <c r="E40" s="22" t="n"/>
      <c r="F40" s="23">
        <f>Параметры!$B$5+49</f>
        <v>46321</v>
      </c>
      <c r="G40" s="23">
        <f>Параметры!$B$5+53</f>
        <v>46325</v>
      </c>
      <c r="H40" s="22" t="n"/>
      <c r="I40" s="22" t="n"/>
      <c r="J40" s="22" t="inlineStr">
        <is>
          <t>Станция выведена</t>
        </is>
      </c>
      <c r="K40" s="24" t="n"/>
      <c r="L40" s="22" t="inlineStr">
        <is>
          <t>планируется</t>
        </is>
      </c>
      <c r="M40" s="22" t="n">
        <v>2</v>
      </c>
      <c r="N40" s="22" t="n"/>
      <c r="O40" s="22" t="n"/>
      <c r="W40" s="19" t="n"/>
    </row>
    <row r="41">
      <c r="A41" s="20" t="inlineStr">
        <is>
          <t>8.3</t>
        </is>
      </c>
      <c r="B41" s="21" t="inlineStr">
        <is>
          <t>ССЗ — 39 абонентов — в Нижний Новгород</t>
        </is>
      </c>
      <c r="C41" s="22" t="n"/>
      <c r="D41" s="22" t="n"/>
      <c r="E41" s="22" t="n"/>
      <c r="F41" s="23">
        <f>Параметры!$B$5+56</f>
        <v>46328</v>
      </c>
      <c r="G41" s="23">
        <f>Параметры!$B$5+60</f>
        <v>46332</v>
      </c>
      <c r="H41" s="22" t="n"/>
      <c r="I41" s="22" t="n"/>
      <c r="J41" s="22" t="inlineStr">
        <is>
          <t>Станция выведена</t>
        </is>
      </c>
      <c r="K41" s="24" t="n"/>
      <c r="L41" s="22" t="inlineStr">
        <is>
          <t>планируется</t>
        </is>
      </c>
      <c r="M41" s="22" t="n">
        <v>2</v>
      </c>
      <c r="N41" s="22" t="n"/>
      <c r="O41" s="22" t="n"/>
      <c r="X41" s="19" t="n"/>
    </row>
    <row r="42">
      <c r="A42" s="20" t="inlineStr">
        <is>
          <t>8.4</t>
        </is>
      </c>
      <c r="B42" s="21" t="inlineStr">
        <is>
          <t>Манитек, Семикаракорский, Цимлянский, Приманыческий — 73 абонента — в Ростов</t>
        </is>
      </c>
      <c r="C42" s="22" t="n"/>
      <c r="D42" s="22" t="n"/>
      <c r="E42" s="22" t="n"/>
      <c r="F42" s="23">
        <f>Параметры!$B$5+63</f>
        <v>46335</v>
      </c>
      <c r="G42" s="23">
        <f>Параметры!$B$5+74</f>
        <v>46346</v>
      </c>
      <c r="H42" s="22" t="n"/>
      <c r="I42" s="22" t="n"/>
      <c r="J42" s="22" t="inlineStr">
        <is>
          <t>Станции выведены</t>
        </is>
      </c>
      <c r="K42" s="24" t="n"/>
      <c r="L42" s="22" t="inlineStr">
        <is>
          <t>планируется</t>
        </is>
      </c>
      <c r="M42" s="22" t="n">
        <v>4</v>
      </c>
      <c r="N42" s="22" t="n"/>
      <c r="O42" s="22" t="n"/>
      <c r="Y42" s="19" t="n"/>
      <c r="Z42" s="19" t="n"/>
    </row>
    <row r="43">
      <c r="A43" s="20" t="inlineStr">
        <is>
          <t>8.5</t>
        </is>
      </c>
      <c r="B43" s="21" t="inlineStr">
        <is>
          <t>Локальный PBX — 15 абонентов — в Москву</t>
        </is>
      </c>
      <c r="C43" s="22" t="n"/>
      <c r="D43" s="22" t="n"/>
      <c r="E43" s="22" t="n"/>
      <c r="F43" s="23">
        <f>Параметры!$B$5+77</f>
        <v>46349</v>
      </c>
      <c r="G43" s="23">
        <f>Параметры!$B$5+81</f>
        <v>46353</v>
      </c>
      <c r="H43" s="22" t="n"/>
      <c r="I43" s="22" t="n"/>
      <c r="J43" s="22" t="inlineStr">
        <is>
          <t>Станция выведена</t>
        </is>
      </c>
      <c r="K43" s="24" t="n"/>
      <c r="L43" s="22" t="inlineStr">
        <is>
          <t>планируется</t>
        </is>
      </c>
      <c r="M43" s="22" t="n">
        <v>2</v>
      </c>
      <c r="N43" s="22" t="n"/>
      <c r="O43" s="22" t="n"/>
      <c r="AA43" s="19" t="n"/>
    </row>
    <row r="44">
      <c r="A44" s="15" t="inlineStr">
        <is>
          <t>9</t>
        </is>
      </c>
      <c r="B44" s="15" t="inlineStr">
        <is>
          <t>Перевод абонентов на единый план нумерации</t>
        </is>
      </c>
      <c r="C44" s="15" t="inlineStr">
        <is>
          <t>развитие</t>
        </is>
      </c>
      <c r="D44" s="15" t="inlineStr">
        <is>
          <t>Инфраструктура</t>
        </is>
      </c>
      <c r="E44" s="16" t="n"/>
      <c r="F44" s="17">
        <f>Параметры!$B$5+28</f>
        <v>46300</v>
      </c>
      <c r="G44" s="17">
        <f>Параметры!$B$5+88</f>
        <v>46360</v>
      </c>
      <c r="H44" s="17">
        <f>G44</f>
        <v>46360</v>
      </c>
      <c r="I44" s="15" t="inlineStr">
        <is>
          <t>Двенадцать станций используют пересекающиеся номера, единый план невозможен без разведения конфликтов</t>
        </is>
      </c>
      <c r="J44" s="15" t="inlineStr">
        <is>
          <t>Все абоненты переведены на пятизначную нумерацию, переадресации со старых номеров сняты</t>
        </is>
      </c>
      <c r="K44" s="16" t="n"/>
      <c r="L44" s="15" t="inlineStr">
        <is>
          <t>планируется</t>
        </is>
      </c>
      <c r="M44" s="15" t="n">
        <v>15</v>
      </c>
      <c r="N44" s="18">
        <f>Параметры!$B$11*M44</f>
        <v>172725</v>
      </c>
      <c r="O44" s="18" t="n">
        <v>0</v>
      </c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</row>
    <row r="45">
      <c r="A45" s="20" t="inlineStr">
        <is>
          <t>9.1</t>
        </is>
      </c>
      <c r="B45" s="21" t="inlineStr">
        <is>
          <t>Воронеж и Мясокомбинат — 416 абонентов</t>
        </is>
      </c>
      <c r="C45" s="22" t="n"/>
      <c r="D45" s="22" t="n"/>
      <c r="E45" s="22" t="n"/>
      <c r="F45" s="23">
        <f>Параметры!$B$5+28</f>
        <v>46300</v>
      </c>
      <c r="G45" s="23">
        <f>Параметры!$B$5+53</f>
        <v>46325</v>
      </c>
      <c r="H45" s="22" t="n"/>
      <c r="I45" s="22" t="n"/>
      <c r="J45" s="22" t="inlineStr">
        <is>
          <t>Площадки переведены</t>
        </is>
      </c>
      <c r="K45" s="24" t="n"/>
      <c r="L45" s="22" t="inlineStr">
        <is>
          <t>планируется</t>
        </is>
      </c>
      <c r="M45" s="22" t="n">
        <v>5</v>
      </c>
      <c r="N45" s="22" t="n"/>
      <c r="O45" s="22" t="n"/>
      <c r="T45" s="19" t="n"/>
      <c r="U45" s="19" t="n"/>
      <c r="V45" s="19" t="n"/>
      <c r="W45" s="19" t="n"/>
    </row>
    <row r="46">
      <c r="A46" s="20" t="inlineStr">
        <is>
          <t>9.2</t>
        </is>
      </c>
      <c r="B46" s="21" t="inlineStr">
        <is>
          <t>Нижний Новгород и ССЗ — 161 абонент</t>
        </is>
      </c>
      <c r="C46" s="22" t="n"/>
      <c r="D46" s="22" t="n"/>
      <c r="E46" s="22" t="n"/>
      <c r="F46" s="23">
        <f>Параметры!$B$5+42</f>
        <v>46314</v>
      </c>
      <c r="G46" s="23">
        <f>Параметры!$B$5+60</f>
        <v>46332</v>
      </c>
      <c r="H46" s="22" t="n"/>
      <c r="I46" s="22" t="n"/>
      <c r="J46" s="22" t="inlineStr">
        <is>
          <t>Площадки переведены</t>
        </is>
      </c>
      <c r="K46" s="24" t="n"/>
      <c r="L46" s="22" t="inlineStr">
        <is>
          <t>планируется</t>
        </is>
      </c>
      <c r="M46" s="22" t="n">
        <v>3</v>
      </c>
      <c r="N46" s="22" t="n"/>
      <c r="O46" s="22" t="n"/>
      <c r="V46" s="19" t="n"/>
      <c r="W46" s="19" t="n"/>
      <c r="X46" s="19" t="n"/>
    </row>
    <row r="47">
      <c r="A47" s="20" t="inlineStr">
        <is>
          <t>9.3</t>
        </is>
      </c>
      <c r="B47" s="21" t="inlineStr">
        <is>
          <t>Славянск-на-Кубани — 136 абонентов</t>
        </is>
      </c>
      <c r="C47" s="22" t="n"/>
      <c r="D47" s="22" t="n"/>
      <c r="E47" s="22" t="n"/>
      <c r="F47" s="23">
        <f>Параметры!$B$5+49</f>
        <v>46321</v>
      </c>
      <c r="G47" s="23">
        <f>Параметры!$B$5+67</f>
        <v>46339</v>
      </c>
      <c r="H47" s="22" t="n"/>
      <c r="I47" s="22" t="n"/>
      <c r="J47" s="22" t="inlineStr">
        <is>
          <t>Площадка переведена</t>
        </is>
      </c>
      <c r="K47" s="24" t="n"/>
      <c r="L47" s="22" t="inlineStr">
        <is>
          <t>планируется</t>
        </is>
      </c>
      <c r="M47" s="22" t="n">
        <v>2</v>
      </c>
      <c r="N47" s="22" t="n"/>
      <c r="O47" s="22" t="n"/>
      <c r="W47" s="19" t="n"/>
      <c r="X47" s="19" t="n"/>
      <c r="Y47" s="19" t="n"/>
    </row>
    <row r="48">
      <c r="A48" s="20" t="inlineStr">
        <is>
          <t>9.4</t>
        </is>
      </c>
      <c r="B48" s="21" t="inlineStr">
        <is>
          <t>Ростов, его мелкие площадки и Ставрополь — 426 абонентов</t>
        </is>
      </c>
      <c r="C48" s="22" t="n"/>
      <c r="D48" s="22" t="n"/>
      <c r="E48" s="22" t="n"/>
      <c r="F48" s="23">
        <f>Параметры!$B$5+56</f>
        <v>46328</v>
      </c>
      <c r="G48" s="23">
        <f>Параметры!$B$5+81</f>
        <v>46353</v>
      </c>
      <c r="H48" s="22" t="n"/>
      <c r="I48" s="22" t="n"/>
      <c r="J48" s="22" t="inlineStr">
        <is>
          <t>Площадки переведены</t>
        </is>
      </c>
      <c r="K48" s="24" t="n"/>
      <c r="L48" s="22" t="inlineStr">
        <is>
          <t>планируется</t>
        </is>
      </c>
      <c r="M48" s="22" t="n">
        <v>4</v>
      </c>
      <c r="N48" s="22" t="n"/>
      <c r="O48" s="22" t="n"/>
      <c r="X48" s="19" t="n"/>
      <c r="Y48" s="19" t="n"/>
      <c r="Z48" s="19" t="n"/>
      <c r="AA48" s="19" t="n"/>
    </row>
    <row r="49">
      <c r="A49" s="20" t="inlineStr">
        <is>
          <t>9.5</t>
        </is>
      </c>
      <c r="B49" s="21" t="inlineStr">
        <is>
          <t>Москва — 80 абонентов, снятие переадресаций</t>
        </is>
      </c>
      <c r="C49" s="22" t="n"/>
      <c r="D49" s="22" t="n"/>
      <c r="E49" s="22" t="n"/>
      <c r="F49" s="23">
        <f>Параметры!$B$5+70</f>
        <v>46342</v>
      </c>
      <c r="G49" s="23">
        <f>Параметры!$B$5+88</f>
        <v>46360</v>
      </c>
      <c r="H49" s="22" t="n"/>
      <c r="I49" s="22" t="n"/>
      <c r="J49" s="22" t="inlineStr">
        <is>
          <t>Площадка переведена, переадресации сняты</t>
        </is>
      </c>
      <c r="K49" s="24" t="n"/>
      <c r="L49" s="22" t="inlineStr">
        <is>
          <t>планируется</t>
        </is>
      </c>
      <c r="M49" s="22" t="n">
        <v>1</v>
      </c>
      <c r="N49" s="22" t="n"/>
      <c r="O49" s="22" t="n"/>
      <c r="Z49" s="19" t="n"/>
      <c r="AA49" s="19" t="n"/>
      <c r="AB49" s="19" t="n"/>
    </row>
    <row r="50">
      <c r="A50" s="25" t="n"/>
      <c r="B50" s="25" t="inlineStr">
        <is>
          <t>ИТОГО по проекту</t>
        </is>
      </c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>
        <f>M3+M10+M17+M21+M25+M31+M35+M38+M44</f>
        <v>85</v>
      </c>
      <c r="N50" s="26">
        <f>N3+N10+N17+N21+N25+N31+N35+N38+N44</f>
        <v>978775</v>
      </c>
      <c r="O50" s="26">
        <f>O3+O10+O17+O21+O25+O31+O35+O38+O44</f>
        <v>0</v>
      </c>
    </row>
  </sheetData>
  <mergeCells count="3">
    <mergeCell ref="X1:AB1"/>
    <mergeCell ref="P1:S1"/>
    <mergeCell ref="T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2026-08-13T21:41:11Z</dcterms:created>
  <dcterms:modified xsi:type="dcterms:W3CDTF">2026-08-13T21:41:11Z</dcterms:modified>
</cp:coreProperties>
</file>